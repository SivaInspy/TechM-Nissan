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ivakumar\Gears3.0\"/>
    </mc:Choice>
  </mc:AlternateContent>
  <bookViews>
    <workbookView xWindow="0" yWindow="0" windowWidth="15345" windowHeight="4575" tabRatio="556" firstSheet="1" activeTab="2"/>
  </bookViews>
  <sheets>
    <sheet name="Tables_List" sheetId="19" r:id="rId1"/>
    <sheet name="Tables_for_Zeppelin" sheetId="35" r:id="rId2"/>
    <sheet name="Workflows_Vs_Tables" sheetId="36" r:id="rId3"/>
    <sheet name="claim" sheetId="1" r:id="rId4"/>
    <sheet name="claim_dm" sheetId="2" r:id="rId5"/>
    <sheet name="comment_cust" sheetId="3" r:id="rId6"/>
    <sheet name="comment_tech" sheetId="4" r:id="rId7"/>
    <sheet name="cpv" sheetId="5" r:id="rId8"/>
    <sheet name="gcar_ad_date" sheetId="6" r:id="rId9"/>
    <sheet name="gcar_project" sheetId="7" r:id="rId10"/>
    <sheet name="gcar_projectxmy" sheetId="10" r:id="rId11"/>
    <sheet name="gcar_projectxplant" sheetId="11" r:id="rId12"/>
    <sheet name="gcar_req" sheetId="9" r:id="rId13"/>
    <sheet name="gcarcoverage" sheetId="12" r:id="rId14"/>
    <sheet name="gcareffectiveness" sheetId="8" r:id="rId15"/>
    <sheet name="gcarmaster" sheetId="13" r:id="rId16"/>
    <sheet name="issue_stats" sheetId="14" r:id="rId17"/>
    <sheet name="modelyear" sheetId="15" r:id="rId18"/>
    <sheet name="opcode" sheetId="16" r:id="rId19"/>
    <sheet name="part" sheetId="17" r:id="rId20"/>
    <sheet name="temp_claim" sheetId="18" r:id="rId21"/>
    <sheet name="tracking_CVTClaims_F1" sheetId="20" r:id="rId22"/>
    <sheet name="tracking_CVTClaims_FKJK" sheetId="21" r:id="rId23"/>
    <sheet name="tracking_CVTPartUse_F1" sheetId="22" r:id="rId24"/>
    <sheet name="tracking_CVTPartUse_FKJK" sheetId="24" r:id="rId25"/>
    <sheet name="vehicle" sheetId="25" r:id="rId26"/>
    <sheet name="vehicle_dm" sheetId="26" r:id="rId27"/>
    <sheet name="vehicle_gcar_conspfp_cov" sheetId="27" r:id="rId28"/>
    <sheet name="vehicle_my" sheetId="28" r:id="rId29"/>
    <sheet name="vehicle_navi" sheetId="29" r:id="rId30"/>
    <sheet name="vehicleclaim_navi" sheetId="30" r:id="rId31"/>
    <sheet name="vehicleopcode" sheetId="31" r:id="rId32"/>
    <sheet name="vehiclepart" sheetId="32" r:id="rId33"/>
    <sheet name="wrnty_clm_crnt_vw" sheetId="33" r:id="rId34"/>
    <sheet name="wrnty_cmnt_crnt_vw" sheetId="34" r:id="rId35"/>
  </sheets>
  <calcPr calcId="162913"/>
</workbook>
</file>

<file path=xl/calcChain.xml><?xml version="1.0" encoding="utf-8"?>
<calcChain xmlns="http://schemas.openxmlformats.org/spreadsheetml/2006/main">
  <c r="E19" i="35" l="1"/>
  <c r="F19" i="35"/>
  <c r="E3" i="35" l="1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2" i="35"/>
  <c r="C2" i="33" l="1"/>
  <c r="C2" i="25" l="1"/>
  <c r="C2" i="21"/>
  <c r="C2" i="20"/>
  <c r="F33" i="35" l="1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8" i="35"/>
  <c r="F17" i="35"/>
  <c r="F16" i="35"/>
  <c r="F15" i="35"/>
  <c r="F14" i="35"/>
  <c r="F13" i="35"/>
  <c r="F12" i="35"/>
  <c r="F11" i="35"/>
  <c r="F10" i="35"/>
  <c r="F9" i="35"/>
  <c r="F8" i="35"/>
  <c r="F7" i="35"/>
  <c r="F6" i="35"/>
  <c r="F5" i="35"/>
  <c r="F4" i="35"/>
  <c r="F3" i="35"/>
  <c r="F2" i="35"/>
  <c r="C2" i="17"/>
  <c r="C2" i="22"/>
  <c r="C2" i="24"/>
  <c r="C2" i="34"/>
  <c r="C2" i="32"/>
  <c r="C2" i="31"/>
  <c r="C2" i="29"/>
  <c r="C2" i="27"/>
  <c r="C2" i="18"/>
  <c r="C2" i="16"/>
</calcChain>
</file>

<file path=xl/sharedStrings.xml><?xml version="1.0" encoding="utf-8"?>
<sst xmlns="http://schemas.openxmlformats.org/spreadsheetml/2006/main" count="547" uniqueCount="215">
  <si>
    <t>reportdate</t>
  </si>
  <si>
    <t>repair_date</t>
  </si>
  <si>
    <t>rundate</t>
  </si>
  <si>
    <t>processdate</t>
  </si>
  <si>
    <t>ad_date</t>
  </si>
  <si>
    <t>crte_ts</t>
  </si>
  <si>
    <t>pub_date</t>
  </si>
  <si>
    <t>mdl_yr_elmnt_tx</t>
  </si>
  <si>
    <t>tracking_CVTClaims_F1</t>
  </si>
  <si>
    <t>tracking_CVTClaims_FKJK</t>
  </si>
  <si>
    <t>tracking_CVTPartUse_F1</t>
  </si>
  <si>
    <t>tracking_CVTPartUse_FKJK</t>
  </si>
  <si>
    <t>vehicle</t>
  </si>
  <si>
    <t>vehicle_dm</t>
  </si>
  <si>
    <t>vehicle_gcar_conspfp_cov</t>
  </si>
  <si>
    <t>vehicle_my</t>
  </si>
  <si>
    <t>vehicle_navi</t>
  </si>
  <si>
    <t>vehicleclaim_navi</t>
  </si>
  <si>
    <t>vehicleopcode</t>
  </si>
  <si>
    <t>vehiclepart</t>
  </si>
  <si>
    <t>wrnty_clm_crnt_vw</t>
  </si>
  <si>
    <t>wrnty_cmnt_crnt_vw</t>
  </si>
  <si>
    <t>claim</t>
  </si>
  <si>
    <t>claim_dm</t>
  </si>
  <si>
    <t>comment_cust</t>
  </si>
  <si>
    <t>comment_tech</t>
  </si>
  <si>
    <t>cpv</t>
  </si>
  <si>
    <t>gcar_ad_date</t>
  </si>
  <si>
    <t>gcar_project</t>
  </si>
  <si>
    <t>gcar_projectxmy</t>
  </si>
  <si>
    <t>gcar_projectxplant</t>
  </si>
  <si>
    <t>gcar_req</t>
  </si>
  <si>
    <t>gcarcoverage</t>
  </si>
  <si>
    <t>gcareffectiveness</t>
  </si>
  <si>
    <t>gcarmaster</t>
  </si>
  <si>
    <t>issue_stats</t>
  </si>
  <si>
    <t>modelyear</t>
  </si>
  <si>
    <t>opcode</t>
  </si>
  <si>
    <t>part</t>
  </si>
  <si>
    <t>temp_claim</t>
  </si>
  <si>
    <t>update_dt</t>
  </si>
  <si>
    <t>NA</t>
  </si>
  <si>
    <t>opcode_update_dt</t>
  </si>
  <si>
    <t>part_update_dt</t>
  </si>
  <si>
    <t>clm_dt</t>
  </si>
  <si>
    <t>updt_ts</t>
  </si>
  <si>
    <t>select DISTINCT crte_ts from adhoc_gcar_project order by crte_ts desc</t>
  </si>
  <si>
    <t>select DISTINCT reportdate from adhoc_claim order by reportdate desc</t>
  </si>
  <si>
    <t>select DISTINCT crte_ts from adhoc_gcar_req order by crte_ts desc</t>
  </si>
  <si>
    <t>select DISTINCT pub_date from adhoc_gcareffectiveness order by pub_date desc</t>
  </si>
  <si>
    <t>adhoc_opcode</t>
  </si>
  <si>
    <t>Query</t>
  </si>
  <si>
    <t>adhoc_vehiclepart</t>
  </si>
  <si>
    <t>adhoc_vehicleopcode</t>
  </si>
  <si>
    <t>adhoc_vehicle_navi</t>
  </si>
  <si>
    <t>adhoc_vehicle_gcar_conspfp_cov</t>
  </si>
  <si>
    <t>adhoc_vehicle_dm</t>
  </si>
  <si>
    <t>adhoc_vehicle</t>
  </si>
  <si>
    <t>adhoc_tracking_CVTPartUse_FKJK</t>
  </si>
  <si>
    <t>adhoc_tracking_CVTPartUse_F1</t>
  </si>
  <si>
    <t>adhoc_tracking_CVTClaims_FKJK</t>
  </si>
  <si>
    <t>adhoc_tracking_CVTClaims_F1</t>
  </si>
  <si>
    <t>adhoc_temp_claim</t>
  </si>
  <si>
    <t>adhoc_part</t>
  </si>
  <si>
    <t>Action Name(Workflow)</t>
  </si>
  <si>
    <t>adhoc_prefix</t>
  </si>
  <si>
    <t>temptable</t>
  </si>
  <si>
    <t>raw_prefix</t>
  </si>
  <si>
    <t>Comments</t>
  </si>
  <si>
    <t>adhoc_claim_dim</t>
  </si>
  <si>
    <t>"claim_dim" as "claim_dm"</t>
  </si>
  <si>
    <t>claim_dim</t>
  </si>
  <si>
    <t>claim a</t>
  </si>
  <si>
    <t>adhoc_claim</t>
  </si>
  <si>
    <t>No reference in "R" file but available in database</t>
  </si>
  <si>
    <t>vehicle a</t>
  </si>
  <si>
    <t>gcar_claim</t>
  </si>
  <si>
    <t>wrnty_clm_crnt_vw b</t>
  </si>
  <si>
    <t>adhoc_cpv</t>
  </si>
  <si>
    <t>No "R" files avaiable but Tables available in the database</t>
  </si>
  <si>
    <t>adhoc_cvt_f1</t>
  </si>
  <si>
    <t>cvt_part</t>
  </si>
  <si>
    <t>cvt_final</t>
  </si>
  <si>
    <t>part a</t>
  </si>
  <si>
    <t>cvt_f1</t>
  </si>
  <si>
    <t>claim b</t>
  </si>
  <si>
    <t>adhoc_cvt_fkjk</t>
  </si>
  <si>
    <t>cvt_claims</t>
  </si>
  <si>
    <t>cvt_fkjk</t>
  </si>
  <si>
    <t>adhoc_gcar_claim</t>
  </si>
  <si>
    <t>No "R" files available and Tables not available in Database</t>
  </si>
  <si>
    <t>adhoc_gcar_conspfp_cov</t>
  </si>
  <si>
    <t>final</t>
  </si>
  <si>
    <t>Workflow name differs from "R", "Shell" with "Table_Name" in the database</t>
  </si>
  <si>
    <t>gcar_conspfp_cov</t>
  </si>
  <si>
    <t>gcareffectiveness b</t>
  </si>
  <si>
    <t>vhcl_gcar</t>
  </si>
  <si>
    <t>adhoc_gcar_coverage</t>
  </si>
  <si>
    <t>"gcar_coverage" as "gcarcoverage"</t>
  </si>
  <si>
    <t>gc_finalB</t>
  </si>
  <si>
    <t>gcar_projectxmodelxpfp5 a</t>
  </si>
  <si>
    <t>gcar_project b</t>
  </si>
  <si>
    <t>gc_final02 a</t>
  </si>
  <si>
    <t>gc a</t>
  </si>
  <si>
    <t>adhoc_gcar_index</t>
  </si>
  <si>
    <t>gcar_index</t>
  </si>
  <si>
    <t>"R" files available but Tables not available in Database</t>
  </si>
  <si>
    <t>gcarmaster3</t>
  </si>
  <si>
    <t>adhoc_gcar_master</t>
  </si>
  <si>
    <t>"gcar_master" as "gcarmaster"</t>
  </si>
  <si>
    <t>gcar_project a</t>
  </si>
  <si>
    <t>gcarmaster2 a</t>
  </si>
  <si>
    <t>gcarmaster b</t>
  </si>
  <si>
    <t>adhoc_gcar_tables</t>
  </si>
  <si>
    <t>gcar_tables</t>
  </si>
  <si>
    <t>pro_my</t>
  </si>
  <si>
    <t>pro_plant</t>
  </si>
  <si>
    <t>proj</t>
  </si>
  <si>
    <t>req</t>
  </si>
  <si>
    <t>pro_mdl_cd</t>
  </si>
  <si>
    <t>vb a</t>
  </si>
  <si>
    <t>adhoc_issue_stats</t>
  </si>
  <si>
    <t>issue</t>
  </si>
  <si>
    <t xml:space="preserve">claim a </t>
  </si>
  <si>
    <t>labor</t>
  </si>
  <si>
    <t>claim_dm a</t>
  </si>
  <si>
    <t>svc_oprtn_crnt_vw b</t>
  </si>
  <si>
    <t>fpart</t>
  </si>
  <si>
    <t>vhcl a</t>
  </si>
  <si>
    <t>adhoc_vehicle_dim</t>
  </si>
  <si>
    <t>"vehicle_dim" as "vehicle_dm"</t>
  </si>
  <si>
    <t xml:space="preserve">vehicle a </t>
  </si>
  <si>
    <t>vtemp</t>
  </si>
  <si>
    <t>adhoc_vehicleclaim_navi</t>
  </si>
  <si>
    <t>navi</t>
  </si>
  <si>
    <t>Tables available in Database from workflows</t>
  </si>
  <si>
    <t>Date column</t>
  </si>
  <si>
    <t>Maximum timestamp</t>
  </si>
  <si>
    <t>adhoc_claim_dm</t>
  </si>
  <si>
    <t>2020-04-07</t>
  </si>
  <si>
    <t>adhoc_comment_cust</t>
  </si>
  <si>
    <t>adhoc_comment_tech</t>
  </si>
  <si>
    <t>adhoc_gcar_ad_date</t>
  </si>
  <si>
    <t>2021-01-08</t>
  </si>
  <si>
    <t>adhoc_gcar_project</t>
  </si>
  <si>
    <t>adhoc_gcar_projectxmy</t>
  </si>
  <si>
    <t>adhoc_gcar_projectxplant</t>
  </si>
  <si>
    <t>adhoc_gcar_req</t>
  </si>
  <si>
    <t>adhoc_gcarcoverage</t>
  </si>
  <si>
    <t>2020-01-31</t>
  </si>
  <si>
    <t>adhoc_gcareffectiveness</t>
  </si>
  <si>
    <t>adhoc_gcarmaster</t>
  </si>
  <si>
    <t>adhoc_modelyear</t>
  </si>
  <si>
    <t>adhoc_vehicle_my</t>
  </si>
  <si>
    <t>No</t>
  </si>
  <si>
    <t>Action Id</t>
  </si>
  <si>
    <t>Action Name</t>
  </si>
  <si>
    <t>Type</t>
  </si>
  <si>
    <t>Transition</t>
  </si>
  <si>
    <t>Table_Name in Hive</t>
  </si>
  <si>
    <t>end</t>
  </si>
  <si>
    <t>:END:</t>
  </si>
  <si>
    <t>Adhoc-vehicleclaim-navi</t>
  </si>
  <si>
    <t>shell</t>
  </si>
  <si>
    <t>Adhoc-claim-dim-shell</t>
  </si>
  <si>
    <t>Adhoc-vehicle-shell</t>
  </si>
  <si>
    <t>Adhoc-vehicle-dim-shell</t>
  </si>
  <si>
    <t>Adhoc-vehicle-navi-shell</t>
  </si>
  <si>
    <t>Adhoc-gcar-tables-shell</t>
  </si>
  <si>
    <t>Adhoc-part-shell</t>
  </si>
  <si>
    <t>Adhoc-opcode-shell</t>
  </si>
  <si>
    <t>Adhoc-cvt-fkjk-shell</t>
  </si>
  <si>
    <t>Adhoc-issue-stats-shell</t>
  </si>
  <si>
    <t>Adhoc-gcar-index-shell</t>
  </si>
  <si>
    <t>Adhoc-gcar-master-shell</t>
  </si>
  <si>
    <t>Adhoc-gcar-conspfp-cov-shell</t>
  </si>
  <si>
    <t>Adhoc-gcar-coverage-shell</t>
  </si>
  <si>
    <t>Adhoc-gcar-claim-shell</t>
  </si>
  <si>
    <t>Adhoc-cvt-f1-shell</t>
  </si>
  <si>
    <t>Adhoc-cpv-shell</t>
  </si>
  <si>
    <t>:start:</t>
  </si>
  <si>
    <t>:START:</t>
  </si>
  <si>
    <t>adhoc_wrnty_clm_crnt_vw</t>
  </si>
  <si>
    <t>adhoc_wrnty_cmnt_crnt_vw</t>
  </si>
  <si>
    <t>2020-04-08</t>
  </si>
  <si>
    <t>2020-04-09</t>
  </si>
  <si>
    <t>2019-12-20</t>
  </si>
  <si>
    <t>Datatype</t>
  </si>
  <si>
    <t>date</t>
  </si>
  <si>
    <t>string</t>
  </si>
  <si>
    <t>timestamp</t>
  </si>
  <si>
    <t>Table_Name</t>
  </si>
  <si>
    <t>Column_Name(Date)</t>
  </si>
  <si>
    <t>Last Updated Date</t>
  </si>
  <si>
    <t>0000789-200412095722411-oozie-oozi-W@:start:</t>
  </si>
  <si>
    <t>0000789-200412095722411-oozie-oozi-W@Adhoc-vehicle-shell</t>
  </si>
  <si>
    <t>0000789-200412095722411-oozie-oozi-W@Adhoc-vehicle-dim-shell</t>
  </si>
  <si>
    <t>0000789-200412095722411-oozie-oozi-W@Adhoc-vehicle-navi-shell</t>
  </si>
  <si>
    <t>0000789-200412095722411-oozie-oozi-W@Adhoc-gcar-tables-shell</t>
  </si>
  <si>
    <t>0000789-200412095722411-oozie-oozi-W@Adhoc-gcar-index-shell</t>
  </si>
  <si>
    <t>0000789-200412095722411-oozie-oozi-W@Adhoc-gcar-coverage-shell</t>
  </si>
  <si>
    <t>0000789-200412095722411-oozie-oozi-W@Adhoc-gcar-master-shell</t>
  </si>
  <si>
    <t>0000789-200412095722411-oozie-oozi-W@Adhoc-gcar-conspfp-cov-shell</t>
  </si>
  <si>
    <t>0000789-200412095722411-oozie-oozi-W@Adhoc-gcar-claim-shell</t>
  </si>
  <si>
    <t>0000789-200412095722411-oozie-oozi-W@Adhoc-vehicleclaim-navi</t>
  </si>
  <si>
    <t>0000789-200412095722411-oozie-oozi-W@Adhoc-claim-dim-shell</t>
  </si>
  <si>
    <t>0000789-200412095722411-oozie-oozi-W@Adhoc-issue-stats-shell</t>
  </si>
  <si>
    <t>0000789-200412095722411-oozie-oozi-W@Adhoc-part-shell</t>
  </si>
  <si>
    <t>0000789-200412095722411-oozie-oozi-W@Adhoc-opcode-shell</t>
  </si>
  <si>
    <t>0000789-200412095722411-oozie-oozi-W@Adhoc-cvt-fkjk-shell</t>
  </si>
  <si>
    <t>0000789-200412095722411-oozie-oozi-W@Adhoc-cvt-f1-shell</t>
  </si>
  <si>
    <t>0000789-200412095722411-oozie-oozi-W@Adhoc-cpv-shell</t>
  </si>
  <si>
    <t>0000789-200412095722411-oozie-oozi-W@end</t>
  </si>
  <si>
    <t xml:space="preserve"> </t>
  </si>
  <si>
    <t>Tables not having workflows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</si>
</sst>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4009]yyyy/mm/dd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0" borderId="0" xfId="0" applyFont="1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3" borderId="0" xfId="0" applyFill="1"/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64" fontId="0" fillId="0" borderId="0" xfId="0" applyNumberFormat="1"/>
    <xf numFmtId="164" fontId="1" fillId="0" borderId="0" xfId="0" applyNumberFormat="1" applyFont="1"/>
    <xf numFmtId="0" fontId="1" fillId="0" borderId="0" xfId="0" applyFont="1" applyAlignment="1">
      <alignment horizontal="left"/>
    </xf>
    <xf numFmtId="49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4" borderId="0" xfId="0" applyFill="1" applyAlignment="1">
      <alignment horizontal="left"/>
    </xf>
    <xf numFmtId="49" fontId="2" fillId="4" borderId="0" xfId="0" applyNumberFormat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49" fontId="0" fillId="4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164" fontId="0" fillId="5" borderId="0" xfId="0" applyNumberFormat="1" applyFill="1" applyAlignment="1">
      <alignment horizontal="left"/>
    </xf>
    <xf numFmtId="49" fontId="0" fillId="5" borderId="0" xfId="0" applyNumberFormat="1" applyFill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0" xfId="0" applyBorder="1"/>
    <xf numFmtId="0" fontId="1" fillId="0" borderId="0" xfId="0" applyFont="1" applyFill="1" applyBorder="1"/>
    <xf numFmtId="0" fontId="1" fillId="0" borderId="0" xfId="0" applyFont="1" applyBorder="1"/>
    <xf numFmtId="0" fontId="0" fillId="3" borderId="0" xfId="0" applyFill="1" applyBorder="1"/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E73"/>
  <sheetViews>
    <sheetView topLeftCell="A28" workbookViewId="0">
      <selection activeCell="B33" sqref="B33"/>
    </sheetView>
  </sheetViews>
  <sheetFormatPr defaultRowHeight="15" x14ac:dyDescent="0.25"/>
  <cols>
    <col min="1" max="1" width="23.5703125" bestFit="1" customWidth="1"/>
    <col min="2" max="2" width="25.5703125" bestFit="1" customWidth="1"/>
    <col min="3" max="3" width="18" bestFit="1" customWidth="1"/>
    <col min="4" max="4" width="20.140625" bestFit="1" customWidth="1"/>
    <col min="5" max="5" width="70.28515625" bestFit="1" customWidth="1"/>
  </cols>
  <sheetData>
    <row r="1" spans="1:5" x14ac:dyDescent="0.25">
      <c r="A1" s="5" t="s">
        <v>64</v>
      </c>
      <c r="B1" s="1" t="s">
        <v>65</v>
      </c>
      <c r="C1" s="1" t="s">
        <v>66</v>
      </c>
      <c r="D1" s="1" t="s">
        <v>67</v>
      </c>
      <c r="E1" s="1" t="s">
        <v>68</v>
      </c>
    </row>
    <row r="2" spans="1:5" x14ac:dyDescent="0.25">
      <c r="A2" s="37" t="s">
        <v>69</v>
      </c>
      <c r="B2" s="6" t="s">
        <v>23</v>
      </c>
      <c r="C2" s="7" t="s">
        <v>23</v>
      </c>
      <c r="E2" s="4" t="s">
        <v>70</v>
      </c>
    </row>
    <row r="3" spans="1:5" x14ac:dyDescent="0.25">
      <c r="A3" s="37"/>
      <c r="B3" t="s">
        <v>71</v>
      </c>
    </row>
    <row r="4" spans="1:5" x14ac:dyDescent="0.25">
      <c r="A4" s="37"/>
      <c r="B4" t="s">
        <v>72</v>
      </c>
    </row>
    <row r="5" spans="1:5" x14ac:dyDescent="0.25">
      <c r="A5" s="38" t="s">
        <v>73</v>
      </c>
      <c r="B5" s="6" t="s">
        <v>22</v>
      </c>
      <c r="E5" s="4" t="s">
        <v>74</v>
      </c>
    </row>
    <row r="6" spans="1:5" x14ac:dyDescent="0.25">
      <c r="A6" s="38"/>
      <c r="B6" s="6" t="s">
        <v>39</v>
      </c>
      <c r="C6" s="7" t="s">
        <v>62</v>
      </c>
      <c r="E6" s="4"/>
    </row>
    <row r="7" spans="1:5" x14ac:dyDescent="0.25">
      <c r="A7" s="38"/>
      <c r="B7" s="6" t="s">
        <v>75</v>
      </c>
      <c r="C7" s="7"/>
      <c r="E7" s="4"/>
    </row>
    <row r="8" spans="1:5" x14ac:dyDescent="0.25">
      <c r="A8" s="38"/>
      <c r="B8" s="6" t="s">
        <v>24</v>
      </c>
      <c r="C8" s="7" t="s">
        <v>24</v>
      </c>
      <c r="D8" s="7"/>
      <c r="E8" s="4"/>
    </row>
    <row r="9" spans="1:5" x14ac:dyDescent="0.25">
      <c r="A9" s="38"/>
      <c r="B9" s="6" t="s">
        <v>25</v>
      </c>
      <c r="C9" s="7" t="s">
        <v>25</v>
      </c>
      <c r="D9" s="7"/>
      <c r="E9" s="4"/>
    </row>
    <row r="10" spans="1:5" x14ac:dyDescent="0.25">
      <c r="A10" s="38"/>
      <c r="B10" s="7" t="s">
        <v>76</v>
      </c>
      <c r="E10" s="4"/>
    </row>
    <row r="11" spans="1:5" x14ac:dyDescent="0.25">
      <c r="A11" s="38"/>
      <c r="B11" s="6" t="s">
        <v>21</v>
      </c>
      <c r="E11" s="4"/>
    </row>
    <row r="12" spans="1:5" x14ac:dyDescent="0.25">
      <c r="A12" s="38"/>
      <c r="B12" s="6" t="s">
        <v>20</v>
      </c>
      <c r="C12" s="7"/>
      <c r="D12" s="7"/>
      <c r="E12" s="4"/>
    </row>
    <row r="13" spans="1:5" x14ac:dyDescent="0.25">
      <c r="A13" s="38"/>
      <c r="B13" s="7"/>
      <c r="C13" s="7"/>
      <c r="D13" s="7" t="s">
        <v>20</v>
      </c>
      <c r="E13" s="4"/>
    </row>
    <row r="14" spans="1:5" x14ac:dyDescent="0.25">
      <c r="A14" s="38"/>
      <c r="B14" s="7"/>
      <c r="C14" s="7"/>
      <c r="D14" s="7" t="s">
        <v>77</v>
      </c>
      <c r="E14" s="4"/>
    </row>
    <row r="15" spans="1:5" x14ac:dyDescent="0.25">
      <c r="A15" s="8" t="s">
        <v>78</v>
      </c>
      <c r="B15" s="6" t="s">
        <v>26</v>
      </c>
      <c r="C15" s="7"/>
      <c r="D15" s="7"/>
      <c r="E15" s="4" t="s">
        <v>79</v>
      </c>
    </row>
    <row r="16" spans="1:5" x14ac:dyDescent="0.25">
      <c r="A16" s="37" t="s">
        <v>80</v>
      </c>
      <c r="B16" s="6" t="s">
        <v>10</v>
      </c>
      <c r="C16" s="7" t="s">
        <v>81</v>
      </c>
    </row>
    <row r="17" spans="1:5" x14ac:dyDescent="0.25">
      <c r="A17" s="37"/>
      <c r="B17" s="6" t="s">
        <v>8</v>
      </c>
      <c r="C17" s="7" t="s">
        <v>82</v>
      </c>
    </row>
    <row r="18" spans="1:5" x14ac:dyDescent="0.25">
      <c r="A18" s="37"/>
      <c r="B18" s="7" t="s">
        <v>83</v>
      </c>
      <c r="C18" s="7"/>
      <c r="D18" s="7"/>
    </row>
    <row r="19" spans="1:5" x14ac:dyDescent="0.25">
      <c r="A19" s="37"/>
      <c r="B19" s="7" t="s">
        <v>84</v>
      </c>
      <c r="C19" s="7"/>
      <c r="D19" s="7"/>
    </row>
    <row r="20" spans="1:5" x14ac:dyDescent="0.25">
      <c r="A20" s="37"/>
      <c r="B20" s="7" t="s">
        <v>85</v>
      </c>
      <c r="C20" s="7"/>
      <c r="D20" s="7"/>
    </row>
    <row r="21" spans="1:5" x14ac:dyDescent="0.25">
      <c r="A21" s="37" t="s">
        <v>86</v>
      </c>
      <c r="B21" s="6" t="s">
        <v>11</v>
      </c>
      <c r="C21" s="7" t="s">
        <v>81</v>
      </c>
    </row>
    <row r="22" spans="1:5" x14ac:dyDescent="0.25">
      <c r="A22" s="37"/>
      <c r="B22" s="6" t="s">
        <v>9</v>
      </c>
      <c r="C22" s="7" t="s">
        <v>87</v>
      </c>
    </row>
    <row r="23" spans="1:5" x14ac:dyDescent="0.25">
      <c r="A23" s="37"/>
      <c r="B23" s="7" t="s">
        <v>88</v>
      </c>
      <c r="D23" s="7"/>
    </row>
    <row r="24" spans="1:5" x14ac:dyDescent="0.25">
      <c r="A24" s="37"/>
      <c r="B24" s="7" t="s">
        <v>83</v>
      </c>
      <c r="C24" s="7"/>
      <c r="D24" s="7"/>
    </row>
    <row r="25" spans="1:5" x14ac:dyDescent="0.25">
      <c r="A25" s="37"/>
      <c r="B25" s="7" t="s">
        <v>85</v>
      </c>
      <c r="D25" s="7"/>
    </row>
    <row r="26" spans="1:5" x14ac:dyDescent="0.25">
      <c r="A26" s="37"/>
      <c r="B26" s="7" t="s">
        <v>87</v>
      </c>
      <c r="C26" s="7"/>
      <c r="D26" s="7"/>
    </row>
    <row r="27" spans="1:5" x14ac:dyDescent="0.25">
      <c r="A27" s="8" t="s">
        <v>89</v>
      </c>
      <c r="B27" s="9"/>
      <c r="E27" s="4" t="s">
        <v>90</v>
      </c>
    </row>
    <row r="28" spans="1:5" x14ac:dyDescent="0.25">
      <c r="A28" s="39" t="s">
        <v>91</v>
      </c>
      <c r="B28" s="6" t="s">
        <v>14</v>
      </c>
      <c r="C28" s="7" t="s">
        <v>92</v>
      </c>
      <c r="E28" s="4" t="s">
        <v>93</v>
      </c>
    </row>
    <row r="29" spans="1:5" x14ac:dyDescent="0.25">
      <c r="A29" s="39"/>
      <c r="B29" s="7" t="s">
        <v>94</v>
      </c>
      <c r="C29" s="7"/>
      <c r="E29" s="4"/>
    </row>
    <row r="30" spans="1:5" x14ac:dyDescent="0.25">
      <c r="A30" s="39"/>
      <c r="B30" s="6" t="s">
        <v>12</v>
      </c>
      <c r="C30" s="7"/>
      <c r="E30" s="4"/>
    </row>
    <row r="31" spans="1:5" x14ac:dyDescent="0.25">
      <c r="A31" s="39"/>
      <c r="B31" s="7" t="s">
        <v>95</v>
      </c>
      <c r="C31" s="7"/>
      <c r="E31" s="4"/>
    </row>
    <row r="32" spans="1:5" x14ac:dyDescent="0.25">
      <c r="A32" s="39"/>
      <c r="B32" s="7" t="s">
        <v>96</v>
      </c>
      <c r="D32" s="7"/>
      <c r="E32" s="4"/>
    </row>
    <row r="33" spans="1:5" x14ac:dyDescent="0.25">
      <c r="A33" s="37" t="s">
        <v>97</v>
      </c>
      <c r="B33" s="6" t="s">
        <v>32</v>
      </c>
      <c r="E33" s="4" t="s">
        <v>98</v>
      </c>
    </row>
    <row r="34" spans="1:5" x14ac:dyDescent="0.25">
      <c r="A34" s="37"/>
      <c r="B34" s="6" t="s">
        <v>33</v>
      </c>
      <c r="C34" t="s">
        <v>99</v>
      </c>
    </row>
    <row r="35" spans="1:5" x14ac:dyDescent="0.25">
      <c r="A35" s="37"/>
      <c r="B35" s="7" t="s">
        <v>100</v>
      </c>
    </row>
    <row r="36" spans="1:5" x14ac:dyDescent="0.25">
      <c r="A36" s="37"/>
      <c r="B36" s="7" t="s">
        <v>101</v>
      </c>
    </row>
    <row r="37" spans="1:5" x14ac:dyDescent="0.25">
      <c r="A37" s="37"/>
      <c r="B37" t="s">
        <v>102</v>
      </c>
    </row>
    <row r="38" spans="1:5" x14ac:dyDescent="0.25">
      <c r="A38" s="37"/>
      <c r="B38" s="6" t="s">
        <v>16</v>
      </c>
    </row>
    <row r="39" spans="1:5" x14ac:dyDescent="0.25">
      <c r="A39" s="37"/>
      <c r="B39" t="s">
        <v>103</v>
      </c>
    </row>
    <row r="40" spans="1:5" x14ac:dyDescent="0.25">
      <c r="A40" s="37" t="s">
        <v>104</v>
      </c>
      <c r="B40" s="9" t="s">
        <v>105</v>
      </c>
      <c r="E40" s="4" t="s">
        <v>106</v>
      </c>
    </row>
    <row r="41" spans="1:5" x14ac:dyDescent="0.25">
      <c r="A41" s="37"/>
      <c r="B41" s="6" t="s">
        <v>34</v>
      </c>
      <c r="C41" t="s">
        <v>107</v>
      </c>
    </row>
    <row r="42" spans="1:5" x14ac:dyDescent="0.25">
      <c r="A42" s="37"/>
      <c r="B42" s="6" t="s">
        <v>16</v>
      </c>
    </row>
    <row r="43" spans="1:5" x14ac:dyDescent="0.25">
      <c r="A43" s="37" t="s">
        <v>108</v>
      </c>
      <c r="B43" s="10" t="s">
        <v>34</v>
      </c>
      <c r="E43" s="4" t="s">
        <v>109</v>
      </c>
    </row>
    <row r="44" spans="1:5" x14ac:dyDescent="0.25">
      <c r="A44" s="37"/>
      <c r="B44" t="s">
        <v>110</v>
      </c>
    </row>
    <row r="45" spans="1:5" x14ac:dyDescent="0.25">
      <c r="A45" s="37"/>
      <c r="B45" t="s">
        <v>110</v>
      </c>
    </row>
    <row r="46" spans="1:5" x14ac:dyDescent="0.25">
      <c r="A46" s="37"/>
      <c r="B46" t="s">
        <v>100</v>
      </c>
    </row>
    <row r="47" spans="1:5" x14ac:dyDescent="0.25">
      <c r="A47" s="37"/>
      <c r="B47" t="s">
        <v>111</v>
      </c>
    </row>
    <row r="48" spans="1:5" x14ac:dyDescent="0.25">
      <c r="A48" s="37"/>
      <c r="B48" t="s">
        <v>112</v>
      </c>
    </row>
    <row r="49" spans="1:5" x14ac:dyDescent="0.25">
      <c r="A49" s="37" t="s">
        <v>113</v>
      </c>
      <c r="B49" s="9" t="s">
        <v>114</v>
      </c>
      <c r="E49" s="4" t="s">
        <v>106</v>
      </c>
    </row>
    <row r="50" spans="1:5" x14ac:dyDescent="0.25">
      <c r="A50" s="37"/>
      <c r="B50" s="6" t="s">
        <v>29</v>
      </c>
      <c r="C50" t="s">
        <v>115</v>
      </c>
    </row>
    <row r="51" spans="1:5" x14ac:dyDescent="0.25">
      <c r="A51" s="37"/>
      <c r="B51" s="6" t="s">
        <v>30</v>
      </c>
      <c r="C51" t="s">
        <v>116</v>
      </c>
    </row>
    <row r="52" spans="1:5" x14ac:dyDescent="0.25">
      <c r="A52" s="37"/>
      <c r="B52" s="6" t="s">
        <v>28</v>
      </c>
      <c r="C52" t="s">
        <v>117</v>
      </c>
    </row>
    <row r="53" spans="1:5" x14ac:dyDescent="0.25">
      <c r="A53" s="37"/>
      <c r="B53" s="6" t="s">
        <v>31</v>
      </c>
      <c r="C53" t="s">
        <v>118</v>
      </c>
    </row>
    <row r="54" spans="1:5" x14ac:dyDescent="0.25">
      <c r="A54" s="37"/>
      <c r="B54" s="6" t="s">
        <v>27</v>
      </c>
      <c r="C54" t="s">
        <v>27</v>
      </c>
    </row>
    <row r="55" spans="1:5" x14ac:dyDescent="0.25">
      <c r="A55" s="37"/>
      <c r="C55" t="s">
        <v>119</v>
      </c>
    </row>
    <row r="56" spans="1:5" x14ac:dyDescent="0.25">
      <c r="A56" s="37"/>
      <c r="C56" t="s">
        <v>120</v>
      </c>
    </row>
    <row r="57" spans="1:5" x14ac:dyDescent="0.25">
      <c r="A57" s="37" t="s">
        <v>121</v>
      </c>
      <c r="B57" s="6" t="s">
        <v>35</v>
      </c>
      <c r="C57" t="s">
        <v>122</v>
      </c>
    </row>
    <row r="58" spans="1:5" x14ac:dyDescent="0.25">
      <c r="A58" s="37"/>
      <c r="B58" t="s">
        <v>123</v>
      </c>
    </row>
    <row r="59" spans="1:5" x14ac:dyDescent="0.25">
      <c r="A59" s="37" t="s">
        <v>50</v>
      </c>
      <c r="B59" s="6" t="s">
        <v>37</v>
      </c>
      <c r="C59" t="s">
        <v>124</v>
      </c>
    </row>
    <row r="60" spans="1:5" x14ac:dyDescent="0.25">
      <c r="A60" s="37"/>
      <c r="B60" s="6" t="s">
        <v>18</v>
      </c>
      <c r="C60" t="s">
        <v>18</v>
      </c>
    </row>
    <row r="61" spans="1:5" x14ac:dyDescent="0.25">
      <c r="A61" s="37"/>
      <c r="B61" t="s">
        <v>125</v>
      </c>
      <c r="D61" t="s">
        <v>126</v>
      </c>
    </row>
    <row r="62" spans="1:5" x14ac:dyDescent="0.25">
      <c r="A62" s="37"/>
      <c r="B62" t="s">
        <v>75</v>
      </c>
    </row>
    <row r="63" spans="1:5" x14ac:dyDescent="0.25">
      <c r="A63" s="37" t="s">
        <v>63</v>
      </c>
      <c r="B63" s="6" t="s">
        <v>38</v>
      </c>
      <c r="C63" t="s">
        <v>127</v>
      </c>
    </row>
    <row r="64" spans="1:5" x14ac:dyDescent="0.25">
      <c r="A64" s="37"/>
      <c r="B64" s="6" t="s">
        <v>19</v>
      </c>
    </row>
    <row r="65" spans="1:5" x14ac:dyDescent="0.25">
      <c r="A65" s="37"/>
      <c r="B65" t="s">
        <v>125</v>
      </c>
    </row>
    <row r="66" spans="1:5" x14ac:dyDescent="0.25">
      <c r="A66" s="37"/>
      <c r="B66" t="s">
        <v>75</v>
      </c>
    </row>
    <row r="67" spans="1:5" x14ac:dyDescent="0.25">
      <c r="A67" s="11" t="s">
        <v>57</v>
      </c>
      <c r="B67" s="6" t="s">
        <v>12</v>
      </c>
      <c r="C67" t="s">
        <v>57</v>
      </c>
      <c r="D67" t="s">
        <v>128</v>
      </c>
    </row>
    <row r="68" spans="1:5" x14ac:dyDescent="0.25">
      <c r="A68" s="37" t="s">
        <v>129</v>
      </c>
      <c r="B68" s="6" t="s">
        <v>13</v>
      </c>
      <c r="E68" s="4" t="s">
        <v>130</v>
      </c>
    </row>
    <row r="69" spans="1:5" x14ac:dyDescent="0.25">
      <c r="A69" s="37"/>
      <c r="B69" t="s">
        <v>131</v>
      </c>
    </row>
    <row r="70" spans="1:5" x14ac:dyDescent="0.25">
      <c r="A70" s="37" t="s">
        <v>54</v>
      </c>
      <c r="B70" s="6" t="s">
        <v>16</v>
      </c>
      <c r="C70" t="s">
        <v>132</v>
      </c>
    </row>
    <row r="71" spans="1:5" x14ac:dyDescent="0.25">
      <c r="A71" s="37"/>
      <c r="B71" s="6" t="s">
        <v>36</v>
      </c>
      <c r="C71" t="s">
        <v>36</v>
      </c>
    </row>
    <row r="72" spans="1:5" x14ac:dyDescent="0.25">
      <c r="A72" s="37"/>
      <c r="B72" s="6" t="s">
        <v>15</v>
      </c>
      <c r="C72" t="s">
        <v>15</v>
      </c>
    </row>
    <row r="73" spans="1:5" x14ac:dyDescent="0.25">
      <c r="A73" s="11" t="s">
        <v>133</v>
      </c>
      <c r="B73" s="6" t="s">
        <v>17</v>
      </c>
      <c r="C73" t="s">
        <v>134</v>
      </c>
    </row>
  </sheetData>
  <mergeCells count="14">
    <mergeCell ref="A33:A39"/>
    <mergeCell ref="A2:A4"/>
    <mergeCell ref="A5:A14"/>
    <mergeCell ref="A16:A20"/>
    <mergeCell ref="A21:A26"/>
    <mergeCell ref="A28:A32"/>
    <mergeCell ref="A68:A69"/>
    <mergeCell ref="A70:A72"/>
    <mergeCell ref="A40:A42"/>
    <mergeCell ref="A43:A48"/>
    <mergeCell ref="A49:A56"/>
    <mergeCell ref="A57:A58"/>
    <mergeCell ref="A59:A62"/>
    <mergeCell ref="A63:A6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4"/>
  </sheetPr>
  <dimension ref="A1:F33"/>
  <sheetViews>
    <sheetView topLeftCell="A4" workbookViewId="0">
      <selection activeCell="A19" sqref="A19:XFD19"/>
    </sheetView>
  </sheetViews>
  <sheetFormatPr defaultRowHeight="15" x14ac:dyDescent="0.25"/>
  <cols>
    <col min="1" max="1" width="41.28515625" style="18" bestFit="1" customWidth="1"/>
    <col min="2" max="2" width="16.28515625" style="18" bestFit="1" customWidth="1"/>
    <col min="3" max="3" width="20.28515625" style="19" bestFit="1" customWidth="1"/>
    <col min="4" max="4" width="20.28515625" style="20" customWidth="1"/>
    <col min="5" max="5" width="125" style="18" bestFit="1" customWidth="1"/>
    <col min="6" max="6" width="86.7109375" style="18" bestFit="1" customWidth="1"/>
    <col min="7" max="16384" width="9.140625" style="18"/>
  </cols>
  <sheetData>
    <row r="1" spans="1:6" x14ac:dyDescent="0.25">
      <c r="A1" s="28" t="s">
        <v>135</v>
      </c>
      <c r="B1" s="16" t="s">
        <v>136</v>
      </c>
      <c r="C1" s="17" t="s">
        <v>137</v>
      </c>
      <c r="D1" s="16" t="s">
        <v>187</v>
      </c>
      <c r="F1" s="15" t="s">
        <v>51</v>
      </c>
    </row>
    <row r="2" spans="1:6" x14ac:dyDescent="0.25">
      <c r="A2" s="29" t="s">
        <v>73</v>
      </c>
      <c r="B2" s="18" t="s">
        <v>0</v>
      </c>
      <c r="C2" s="19" t="s">
        <v>184</v>
      </c>
      <c r="D2" s="20" t="s">
        <v>188</v>
      </c>
      <c r="E2" s="18" t="str">
        <f>"SELECT DATE("&amp;B2&amp;") as day, count(*) as recordscount FROM equip."&amp;A2&amp;" group by DATE("&amp;B2&amp;") order by day desc limit 1;"</f>
        <v>SELECT DATE(reportdate) as day, count(*) as recordscount FROM equip.adhoc_claim group by DATE(reportdate) order by day desc limit 1;</v>
      </c>
      <c r="F2" s="18" t="str">
        <f>"select DISTINCT "&amp;B2&amp;" from "&amp;A2&amp;" order by "&amp;B2&amp;" desc"</f>
        <v>select DISTINCT reportdate from adhoc_claim order by reportdate desc</v>
      </c>
    </row>
    <row r="3" spans="1:6" x14ac:dyDescent="0.25">
      <c r="A3" s="29" t="s">
        <v>138</v>
      </c>
      <c r="B3" s="20" t="s">
        <v>1</v>
      </c>
      <c r="C3" s="19" t="s">
        <v>139</v>
      </c>
      <c r="D3" s="20" t="s">
        <v>189</v>
      </c>
      <c r="E3" s="18" t="str">
        <f t="shared" ref="E3:E33" si="0">"SELECT DATE("&amp;B3&amp;") as day, count(*) as recordscount FROM equip."&amp;A3&amp;" group by DATE("&amp;B3&amp;") order by day desc limit 1;"</f>
        <v>SELECT DATE(repair_date) as day, count(*) as recordscount FROM equip.adhoc_claim_dm group by DATE(repair_date) order by day desc limit 1;</v>
      </c>
      <c r="F3" s="18" t="str">
        <f t="shared" ref="F3:F33" si="1">"select DISTINCT "&amp;B3&amp;" from "&amp;A3&amp;" order by "&amp;B3&amp;" desc"</f>
        <v>select DISTINCT repair_date from adhoc_claim_dm order by repair_date desc</v>
      </c>
    </row>
    <row r="4" spans="1:6" x14ac:dyDescent="0.25">
      <c r="A4" s="29" t="s">
        <v>140</v>
      </c>
      <c r="B4" s="18" t="s">
        <v>2</v>
      </c>
      <c r="C4" s="19" t="s">
        <v>139</v>
      </c>
      <c r="D4" s="20" t="s">
        <v>188</v>
      </c>
      <c r="E4" s="18" t="str">
        <f t="shared" si="0"/>
        <v>SELECT DATE(rundate) as day, count(*) as recordscount FROM equip.adhoc_comment_cust group by DATE(rundate) order by day desc limit 1;</v>
      </c>
      <c r="F4" s="18" t="str">
        <f t="shared" si="1"/>
        <v>select DISTINCT rundate from adhoc_comment_cust order by rundate desc</v>
      </c>
    </row>
    <row r="5" spans="1:6" x14ac:dyDescent="0.25">
      <c r="A5" s="29" t="s">
        <v>141</v>
      </c>
      <c r="B5" s="18" t="s">
        <v>2</v>
      </c>
      <c r="C5" s="19" t="s">
        <v>139</v>
      </c>
      <c r="D5" s="20" t="s">
        <v>188</v>
      </c>
      <c r="E5" s="18" t="str">
        <f t="shared" si="0"/>
        <v>SELECT DATE(rundate) as day, count(*) as recordscount FROM equip.adhoc_comment_tech group by DATE(rundate) order by day desc limit 1;</v>
      </c>
      <c r="F5" s="18" t="str">
        <f t="shared" si="1"/>
        <v>select DISTINCT rundate from adhoc_comment_tech order by rundate desc</v>
      </c>
    </row>
    <row r="6" spans="1:6" x14ac:dyDescent="0.25">
      <c r="A6" s="29" t="s">
        <v>78</v>
      </c>
      <c r="B6" s="18" t="s">
        <v>3</v>
      </c>
      <c r="C6" s="19" t="s">
        <v>139</v>
      </c>
      <c r="D6" s="20" t="s">
        <v>189</v>
      </c>
      <c r="E6" s="18" t="str">
        <f t="shared" si="0"/>
        <v>SELECT DATE(processdate) as day, count(*) as recordscount FROM equip.adhoc_cpv group by DATE(processdate) order by day desc limit 1;</v>
      </c>
      <c r="F6" s="18" t="str">
        <f t="shared" si="1"/>
        <v>select DISTINCT processdate from adhoc_cpv order by processdate desc</v>
      </c>
    </row>
    <row r="7" spans="1:6" s="25" customFormat="1" x14ac:dyDescent="0.25">
      <c r="A7" s="30" t="s">
        <v>142</v>
      </c>
      <c r="B7" s="25" t="s">
        <v>4</v>
      </c>
      <c r="C7" s="26" t="s">
        <v>143</v>
      </c>
      <c r="D7" s="27" t="s">
        <v>188</v>
      </c>
      <c r="E7" s="25" t="str">
        <f t="shared" si="0"/>
        <v>SELECT DATE(ad_date) as day, count(*) as recordscount FROM equip.adhoc_gcar_ad_date group by DATE(ad_date) order by day desc limit 1;</v>
      </c>
      <c r="F7" s="25" t="str">
        <f t="shared" si="1"/>
        <v>select DISTINCT ad_date from adhoc_gcar_ad_date order by ad_date desc</v>
      </c>
    </row>
    <row r="8" spans="1:6" x14ac:dyDescent="0.25">
      <c r="A8" s="29" t="s">
        <v>144</v>
      </c>
      <c r="B8" s="18" t="s">
        <v>5</v>
      </c>
      <c r="C8" s="19" t="s">
        <v>185</v>
      </c>
      <c r="D8" s="20" t="s">
        <v>190</v>
      </c>
      <c r="E8" s="18" t="str">
        <f t="shared" si="0"/>
        <v>SELECT DATE(crte_ts) as day, count(*) as recordscount FROM equip.adhoc_gcar_project group by DATE(crte_ts) order by day desc limit 1;</v>
      </c>
      <c r="F8" s="18" t="str">
        <f t="shared" si="1"/>
        <v>select DISTINCT crte_ts from adhoc_gcar_project order by crte_ts desc</v>
      </c>
    </row>
    <row r="9" spans="1:6" s="21" customFormat="1" x14ac:dyDescent="0.25">
      <c r="A9" s="31" t="s">
        <v>145</v>
      </c>
      <c r="B9" s="22" t="s">
        <v>41</v>
      </c>
      <c r="C9" s="23" t="s">
        <v>41</v>
      </c>
      <c r="D9" s="22"/>
      <c r="E9" s="21" t="str">
        <f t="shared" si="0"/>
        <v>SELECT DATE(NA) as day, count(*) as recordscount FROM equip.adhoc_gcar_projectxmy group by DATE(NA) order by day desc limit 1;</v>
      </c>
      <c r="F9" s="21" t="str">
        <f t="shared" si="1"/>
        <v>select DISTINCT NA from adhoc_gcar_projectxmy order by NA desc</v>
      </c>
    </row>
    <row r="10" spans="1:6" s="21" customFormat="1" x14ac:dyDescent="0.25">
      <c r="A10" s="31" t="s">
        <v>146</v>
      </c>
      <c r="B10" s="22" t="s">
        <v>41</v>
      </c>
      <c r="C10" s="23" t="s">
        <v>41</v>
      </c>
      <c r="D10" s="22"/>
      <c r="E10" s="21" t="str">
        <f t="shared" si="0"/>
        <v>SELECT DATE(NA) as day, count(*) as recordscount FROM equip.adhoc_gcar_projectxplant group by DATE(NA) order by day desc limit 1;</v>
      </c>
      <c r="F10" s="21" t="str">
        <f t="shared" si="1"/>
        <v>select DISTINCT NA from adhoc_gcar_projectxplant order by NA desc</v>
      </c>
    </row>
    <row r="11" spans="1:6" x14ac:dyDescent="0.25">
      <c r="A11" s="29" t="s">
        <v>147</v>
      </c>
      <c r="B11" s="18" t="s">
        <v>5</v>
      </c>
      <c r="C11" s="19" t="s">
        <v>185</v>
      </c>
      <c r="D11" s="20" t="s">
        <v>190</v>
      </c>
      <c r="E11" s="18" t="str">
        <f t="shared" si="0"/>
        <v>SELECT DATE(crte_ts) as day, count(*) as recordscount FROM equip.adhoc_gcar_req group by DATE(crte_ts) order by day desc limit 1;</v>
      </c>
      <c r="F11" s="18" t="str">
        <f t="shared" si="1"/>
        <v>select DISTINCT crte_ts from adhoc_gcar_req order by crte_ts desc</v>
      </c>
    </row>
    <row r="12" spans="1:6" s="25" customFormat="1" x14ac:dyDescent="0.25">
      <c r="A12" s="30" t="s">
        <v>148</v>
      </c>
      <c r="B12" s="27" t="s">
        <v>6</v>
      </c>
      <c r="C12" s="26" t="s">
        <v>149</v>
      </c>
      <c r="D12" s="27" t="s">
        <v>188</v>
      </c>
      <c r="E12" s="25" t="str">
        <f t="shared" si="0"/>
        <v>SELECT DATE(pub_date) as day, count(*) as recordscount FROM equip.adhoc_gcarcoverage group by DATE(pub_date) order by day desc limit 1;</v>
      </c>
      <c r="F12" s="25" t="str">
        <f t="shared" si="1"/>
        <v>select DISTINCT pub_date from adhoc_gcarcoverage order by pub_date desc</v>
      </c>
    </row>
    <row r="13" spans="1:6" s="25" customFormat="1" x14ac:dyDescent="0.25">
      <c r="A13" s="30" t="s">
        <v>150</v>
      </c>
      <c r="B13" s="27" t="s">
        <v>6</v>
      </c>
      <c r="C13" s="26" t="s">
        <v>149</v>
      </c>
      <c r="D13" s="27" t="s">
        <v>188</v>
      </c>
      <c r="E13" s="25" t="str">
        <f t="shared" si="0"/>
        <v>SELECT DATE(pub_date) as day, count(*) as recordscount FROM equip.adhoc_gcareffectiveness group by DATE(pub_date) order by day desc limit 1;</v>
      </c>
      <c r="F13" s="25" t="str">
        <f t="shared" si="1"/>
        <v>select DISTINCT pub_date from adhoc_gcareffectiveness order by pub_date desc</v>
      </c>
    </row>
    <row r="14" spans="1:6" x14ac:dyDescent="0.25">
      <c r="A14" s="29" t="s">
        <v>151</v>
      </c>
      <c r="B14" s="18" t="s">
        <v>0</v>
      </c>
      <c r="C14" s="19" t="s">
        <v>185</v>
      </c>
      <c r="D14" s="20" t="s">
        <v>188</v>
      </c>
      <c r="E14" s="18" t="str">
        <f t="shared" si="0"/>
        <v>SELECT DATE(reportdate) as day, count(*) as recordscount FROM equip.adhoc_gcarmaster group by DATE(reportdate) order by day desc limit 1;</v>
      </c>
      <c r="F14" s="18" t="str">
        <f t="shared" si="1"/>
        <v>select DISTINCT reportdate from adhoc_gcarmaster order by reportdate desc</v>
      </c>
    </row>
    <row r="15" spans="1:6" s="21" customFormat="1" x14ac:dyDescent="0.25">
      <c r="A15" s="31" t="s">
        <v>146</v>
      </c>
      <c r="B15" s="22" t="s">
        <v>41</v>
      </c>
      <c r="C15" s="23" t="s">
        <v>41</v>
      </c>
      <c r="D15" s="22"/>
      <c r="E15" s="21" t="str">
        <f t="shared" si="0"/>
        <v>SELECT DATE(NA) as day, count(*) as recordscount FROM equip.adhoc_gcar_projectxplant group by DATE(NA) order by day desc limit 1;</v>
      </c>
      <c r="F15" s="21" t="str">
        <f t="shared" si="1"/>
        <v>select DISTINCT NA from adhoc_gcar_projectxplant order by NA desc</v>
      </c>
    </row>
    <row r="16" spans="1:6" s="21" customFormat="1" x14ac:dyDescent="0.25">
      <c r="A16" s="31" t="s">
        <v>152</v>
      </c>
      <c r="B16" s="22" t="s">
        <v>41</v>
      </c>
      <c r="C16" s="23" t="s">
        <v>41</v>
      </c>
      <c r="D16" s="22"/>
      <c r="E16" s="21" t="str">
        <f t="shared" si="0"/>
        <v>SELECT DATE(NA) as day, count(*) as recordscount FROM equip.adhoc_modelyear group by DATE(NA) order by day desc limit 1;</v>
      </c>
      <c r="F16" s="21" t="str">
        <f t="shared" si="1"/>
        <v>select DISTINCT NA from adhoc_modelyear order by NA desc</v>
      </c>
    </row>
    <row r="17" spans="1:6" x14ac:dyDescent="0.25">
      <c r="A17" s="29" t="s">
        <v>50</v>
      </c>
      <c r="B17" s="18" t="s">
        <v>40</v>
      </c>
      <c r="C17" s="19" t="s">
        <v>185</v>
      </c>
      <c r="D17" s="20" t="s">
        <v>188</v>
      </c>
      <c r="E17" s="18" t="str">
        <f t="shared" si="0"/>
        <v>SELECT DATE(update_dt) as day, count(*) as recordscount FROM equip.adhoc_opcode group by DATE(update_dt) order by day desc limit 1;</v>
      </c>
      <c r="F17" s="18" t="str">
        <f t="shared" si="1"/>
        <v>select DISTINCT update_dt from adhoc_opcode order by update_dt desc</v>
      </c>
    </row>
    <row r="18" spans="1:6" x14ac:dyDescent="0.25">
      <c r="A18" s="29" t="s">
        <v>63</v>
      </c>
      <c r="B18" s="18" t="s">
        <v>40</v>
      </c>
      <c r="C18" s="19" t="s">
        <v>185</v>
      </c>
      <c r="D18" s="20" t="s">
        <v>188</v>
      </c>
      <c r="E18" s="18" t="str">
        <f t="shared" si="0"/>
        <v>SELECT DATE(update_dt) as day, count(*) as recordscount FROM equip.adhoc_part group by DATE(update_dt) order by day desc limit 1;</v>
      </c>
      <c r="F18" s="18" t="str">
        <f t="shared" si="1"/>
        <v>select DISTINCT update_dt from adhoc_part order by update_dt desc</v>
      </c>
    </row>
    <row r="19" spans="1:6" s="25" customFormat="1" x14ac:dyDescent="0.25">
      <c r="A19" s="30" t="s">
        <v>62</v>
      </c>
      <c r="B19" s="25" t="s">
        <v>1</v>
      </c>
      <c r="C19" s="26" t="s">
        <v>186</v>
      </c>
      <c r="D19" s="27" t="s">
        <v>189</v>
      </c>
      <c r="E19" s="25" t="str">
        <f t="shared" si="0"/>
        <v>SELECT DATE(repair_date) as day, count(*) as recordscount FROM equip.adhoc_temp_claim group by DATE(repair_date) order by day desc limit 1;</v>
      </c>
      <c r="F19" s="25" t="str">
        <f t="shared" si="1"/>
        <v>select DISTINCT repair_date from adhoc_temp_claim order by repair_date desc</v>
      </c>
    </row>
    <row r="20" spans="1:6" x14ac:dyDescent="0.25">
      <c r="A20" s="29" t="s">
        <v>61</v>
      </c>
      <c r="B20" s="18" t="s">
        <v>0</v>
      </c>
      <c r="C20" s="19">
        <v>43930</v>
      </c>
      <c r="D20" s="20" t="s">
        <v>188</v>
      </c>
      <c r="E20" s="18" t="str">
        <f t="shared" si="0"/>
        <v>SELECT DATE(reportdate) as day, count(*) as recordscount FROM equip.adhoc_tracking_CVTClaims_F1 group by DATE(reportdate) order by day desc limit 1;</v>
      </c>
      <c r="F20" s="18" t="str">
        <f t="shared" si="1"/>
        <v>select DISTINCT reportdate from adhoc_tracking_CVTClaims_F1 order by reportdate desc</v>
      </c>
    </row>
    <row r="21" spans="1:6" x14ac:dyDescent="0.25">
      <c r="A21" s="29" t="s">
        <v>60</v>
      </c>
      <c r="B21" s="18" t="s">
        <v>0</v>
      </c>
      <c r="C21" s="19" t="s">
        <v>185</v>
      </c>
      <c r="D21" s="20" t="s">
        <v>188</v>
      </c>
      <c r="E21" s="18" t="str">
        <f t="shared" si="0"/>
        <v>SELECT DATE(reportdate) as day, count(*) as recordscount FROM equip.adhoc_tracking_CVTClaims_FKJK group by DATE(reportdate) order by day desc limit 1;</v>
      </c>
      <c r="F21" s="18" t="str">
        <f>"select DISTINCT "&amp;B21&amp;" from "&amp;A21&amp;" order by "&amp;B21&amp;" desc"</f>
        <v>select DISTINCT reportdate from adhoc_tracking_CVTClaims_FKJK order by reportdate desc</v>
      </c>
    </row>
    <row r="22" spans="1:6" x14ac:dyDescent="0.25">
      <c r="A22" s="29" t="s">
        <v>59</v>
      </c>
      <c r="B22" s="18" t="s">
        <v>40</v>
      </c>
      <c r="C22" s="19">
        <v>43930</v>
      </c>
      <c r="D22" s="20" t="s">
        <v>188</v>
      </c>
      <c r="E22" s="18" t="str">
        <f t="shared" si="0"/>
        <v>SELECT DATE(update_dt) as day, count(*) as recordscount FROM equip.adhoc_tracking_CVTPartUse_F1 group by DATE(update_dt) order by day desc limit 1;</v>
      </c>
      <c r="F22" s="18" t="str">
        <f t="shared" si="1"/>
        <v>select DISTINCT update_dt from adhoc_tracking_CVTPartUse_F1 order by update_dt desc</v>
      </c>
    </row>
    <row r="23" spans="1:6" x14ac:dyDescent="0.25">
      <c r="A23" s="29" t="s">
        <v>58</v>
      </c>
      <c r="B23" s="18" t="s">
        <v>40</v>
      </c>
      <c r="C23" s="19">
        <v>43929</v>
      </c>
      <c r="D23" s="20" t="s">
        <v>188</v>
      </c>
      <c r="E23" s="18" t="str">
        <f t="shared" si="0"/>
        <v>SELECT DATE(update_dt) as day, count(*) as recordscount FROM equip.adhoc_tracking_CVTPartUse_FKJK group by DATE(update_dt) order by day desc limit 1;</v>
      </c>
      <c r="F23" s="18" t="str">
        <f t="shared" si="1"/>
        <v>select DISTINCT update_dt from adhoc_tracking_CVTPartUse_FKJK order by update_dt desc</v>
      </c>
    </row>
    <row r="24" spans="1:6" x14ac:dyDescent="0.25">
      <c r="A24" s="29" t="s">
        <v>57</v>
      </c>
      <c r="B24" s="18" t="s">
        <v>0</v>
      </c>
      <c r="C24" s="19">
        <v>43930</v>
      </c>
      <c r="D24" s="20" t="s">
        <v>188</v>
      </c>
      <c r="E24" s="18" t="str">
        <f t="shared" si="0"/>
        <v>SELECT DATE(reportdate) as day, count(*) as recordscount FROM equip.adhoc_vehicle group by DATE(reportdate) order by day desc limit 1;</v>
      </c>
      <c r="F24" s="18" t="str">
        <f t="shared" si="1"/>
        <v>select DISTINCT reportdate from adhoc_vehicle order by reportdate desc</v>
      </c>
    </row>
    <row r="25" spans="1:6" s="21" customFormat="1" x14ac:dyDescent="0.25">
      <c r="A25" s="31" t="s">
        <v>56</v>
      </c>
      <c r="B25" s="22" t="s">
        <v>41</v>
      </c>
      <c r="C25" s="23" t="s">
        <v>41</v>
      </c>
      <c r="D25" s="24"/>
      <c r="E25" s="21" t="str">
        <f t="shared" si="0"/>
        <v>SELECT DATE(NA) as day, count(*) as recordscount FROM equip.adhoc_vehicle_dm group by DATE(NA) order by day desc limit 1;</v>
      </c>
      <c r="F25" s="21" t="str">
        <f t="shared" si="1"/>
        <v>select DISTINCT NA from adhoc_vehicle_dm order by NA desc</v>
      </c>
    </row>
    <row r="26" spans="1:6" x14ac:dyDescent="0.25">
      <c r="A26" s="29" t="s">
        <v>55</v>
      </c>
      <c r="B26" s="18" t="s">
        <v>2</v>
      </c>
      <c r="C26" s="19">
        <v>43930</v>
      </c>
      <c r="D26" s="20" t="s">
        <v>188</v>
      </c>
      <c r="E26" s="18" t="str">
        <f t="shared" si="0"/>
        <v>SELECT DATE(rundate) as day, count(*) as recordscount FROM equip.adhoc_vehicle_gcar_conspfp_cov group by DATE(rundate) order by day desc limit 1;</v>
      </c>
      <c r="F26" s="18" t="str">
        <f t="shared" si="1"/>
        <v>select DISTINCT rundate from adhoc_vehicle_gcar_conspfp_cov order by rundate desc</v>
      </c>
    </row>
    <row r="27" spans="1:6" s="21" customFormat="1" x14ac:dyDescent="0.25">
      <c r="A27" s="31" t="s">
        <v>153</v>
      </c>
      <c r="B27" s="22" t="s">
        <v>41</v>
      </c>
      <c r="C27" s="23" t="s">
        <v>41</v>
      </c>
      <c r="D27" s="22"/>
      <c r="E27" s="21" t="str">
        <f t="shared" si="0"/>
        <v>SELECT DATE(NA) as day, count(*) as recordscount FROM equip.adhoc_vehicle_my group by DATE(NA) order by day desc limit 1;</v>
      </c>
      <c r="F27" s="21" t="str">
        <f t="shared" si="1"/>
        <v>select DISTINCT NA from adhoc_vehicle_my order by NA desc</v>
      </c>
    </row>
    <row r="28" spans="1:6" x14ac:dyDescent="0.25">
      <c r="A28" s="29" t="s">
        <v>54</v>
      </c>
      <c r="B28" s="18" t="s">
        <v>2</v>
      </c>
      <c r="C28" s="19">
        <v>43930</v>
      </c>
      <c r="D28" s="20" t="s">
        <v>188</v>
      </c>
      <c r="E28" s="18" t="str">
        <f t="shared" si="0"/>
        <v>SELECT DATE(rundate) as day, count(*) as recordscount FROM equip.adhoc_vehicle_navi group by DATE(rundate) order by day desc limit 1;</v>
      </c>
      <c r="F28" s="18" t="str">
        <f t="shared" si="1"/>
        <v>select DISTINCT rundate from adhoc_vehicle_navi order by rundate desc</v>
      </c>
    </row>
    <row r="29" spans="1:6" s="21" customFormat="1" x14ac:dyDescent="0.25">
      <c r="A29" s="31" t="s">
        <v>133</v>
      </c>
      <c r="B29" s="22" t="s">
        <v>41</v>
      </c>
      <c r="C29" s="23" t="s">
        <v>41</v>
      </c>
      <c r="D29" s="22"/>
      <c r="E29" s="21" t="str">
        <f t="shared" si="0"/>
        <v>SELECT DATE(NA) as day, count(*) as recordscount FROM equip.adhoc_vehicleclaim_navi group by DATE(NA) order by day desc limit 1;</v>
      </c>
      <c r="F29" s="21" t="str">
        <f t="shared" si="1"/>
        <v>select DISTINCT NA from adhoc_vehicleclaim_navi order by NA desc</v>
      </c>
    </row>
    <row r="30" spans="1:6" x14ac:dyDescent="0.25">
      <c r="A30" s="29" t="s">
        <v>53</v>
      </c>
      <c r="B30" s="18" t="s">
        <v>42</v>
      </c>
      <c r="C30" s="19">
        <v>43930</v>
      </c>
      <c r="D30" s="20" t="s">
        <v>188</v>
      </c>
      <c r="E30" s="18" t="str">
        <f t="shared" si="0"/>
        <v>SELECT DATE(opcode_update_dt) as day, count(*) as recordscount FROM equip.adhoc_vehicleopcode group by DATE(opcode_update_dt) order by day desc limit 1;</v>
      </c>
      <c r="F30" s="18" t="str">
        <f t="shared" si="1"/>
        <v>select DISTINCT opcode_update_dt from adhoc_vehicleopcode order by opcode_update_dt desc</v>
      </c>
    </row>
    <row r="31" spans="1:6" x14ac:dyDescent="0.25">
      <c r="A31" s="29" t="s">
        <v>52</v>
      </c>
      <c r="B31" s="18" t="s">
        <v>43</v>
      </c>
      <c r="C31" s="19">
        <v>43930</v>
      </c>
      <c r="D31" s="20" t="s">
        <v>188</v>
      </c>
      <c r="E31" s="18" t="str">
        <f t="shared" si="0"/>
        <v>SELECT DATE(part_update_dt) as day, count(*) as recordscount FROM equip.adhoc_vehiclepart group by DATE(part_update_dt) order by day desc limit 1;</v>
      </c>
      <c r="F31" s="18" t="str">
        <f t="shared" si="1"/>
        <v>select DISTINCT part_update_dt from adhoc_vehiclepart order by part_update_dt desc</v>
      </c>
    </row>
    <row r="32" spans="1:6" x14ac:dyDescent="0.25">
      <c r="A32" s="29" t="s">
        <v>20</v>
      </c>
      <c r="B32" s="18" t="s">
        <v>44</v>
      </c>
      <c r="C32" s="19">
        <v>43930</v>
      </c>
      <c r="D32" s="20" t="s">
        <v>188</v>
      </c>
      <c r="E32" s="18" t="str">
        <f t="shared" si="0"/>
        <v>SELECT DATE(clm_dt) as day, count(*) as recordscount FROM equip.wrnty_clm_crnt_vw group by DATE(clm_dt) order by day desc limit 1;</v>
      </c>
      <c r="F32" s="18" t="str">
        <f t="shared" si="1"/>
        <v>select DISTINCT clm_dt from wrnty_clm_crnt_vw order by clm_dt desc</v>
      </c>
    </row>
    <row r="33" spans="1:6" x14ac:dyDescent="0.25">
      <c r="A33" s="29" t="s">
        <v>21</v>
      </c>
      <c r="B33" s="18" t="s">
        <v>45</v>
      </c>
      <c r="C33" s="19">
        <v>43930</v>
      </c>
      <c r="D33" s="20" t="s">
        <v>190</v>
      </c>
      <c r="E33" s="18" t="str">
        <f t="shared" si="0"/>
        <v>SELECT DATE(updt_ts) as day, count(*) as recordscount FROM equip.wrnty_cmnt_crnt_vw group by DATE(updt_ts) order by day desc limit 1;</v>
      </c>
      <c r="F33" s="18" t="str">
        <f t="shared" si="1"/>
        <v>select DISTINCT updt_ts from wrnty_cmnt_crnt_vw order by updt_ts desc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/>
  </sheetPr>
  <dimension ref="A1:G44"/>
  <sheetViews>
    <sheetView tabSelected="1" workbookViewId="0">
      <selection activeCell="F5" sqref="F5"/>
    </sheetView>
  </sheetViews>
  <sheetFormatPr defaultRowHeight="15" x14ac:dyDescent="0.25"/>
  <cols>
    <col min="1" max="1" width="3.5703125" bestFit="1" customWidth="1"/>
    <col min="2" max="2" width="66.28515625" bestFit="1" customWidth="1"/>
    <col min="3" max="3" width="27.85546875" bestFit="1" customWidth="1"/>
    <col min="4" max="4" width="7.5703125" bestFit="1" customWidth="1"/>
    <col min="5" max="5" width="27.85546875" bestFit="1" customWidth="1"/>
    <col min="6" max="6" width="27.85546875" customWidth="1"/>
    <col min="7" max="7" width="31.28515625" bestFit="1" customWidth="1"/>
  </cols>
  <sheetData>
    <row r="1" spans="1:7" x14ac:dyDescent="0.25">
      <c r="A1" s="34" t="s">
        <v>154</v>
      </c>
      <c r="B1" s="34" t="s">
        <v>155</v>
      </c>
      <c r="C1" s="34" t="s">
        <v>156</v>
      </c>
      <c r="D1" s="34" t="s">
        <v>157</v>
      </c>
      <c r="E1" s="34" t="s">
        <v>158</v>
      </c>
      <c r="F1" s="34" t="s">
        <v>159</v>
      </c>
      <c r="G1" s="33" t="s">
        <v>214</v>
      </c>
    </row>
    <row r="2" spans="1:7" x14ac:dyDescent="0.25">
      <c r="A2" s="32">
        <v>1</v>
      </c>
      <c r="B2" s="32" t="s">
        <v>194</v>
      </c>
      <c r="C2" s="32" t="s">
        <v>180</v>
      </c>
      <c r="D2" s="32" t="s">
        <v>181</v>
      </c>
      <c r="E2" s="32" t="s">
        <v>165</v>
      </c>
      <c r="F2" s="32" t="s">
        <v>57</v>
      </c>
      <c r="G2" s="32" t="s">
        <v>73</v>
      </c>
    </row>
    <row r="3" spans="1:7" x14ac:dyDescent="0.25">
      <c r="A3" s="32">
        <v>2</v>
      </c>
      <c r="B3" s="32" t="s">
        <v>195</v>
      </c>
      <c r="C3" s="32" t="s">
        <v>165</v>
      </c>
      <c r="D3" s="32" t="s">
        <v>163</v>
      </c>
      <c r="E3" s="32" t="s">
        <v>166</v>
      </c>
      <c r="F3" s="32" t="s">
        <v>56</v>
      </c>
      <c r="G3" s="32" t="s">
        <v>140</v>
      </c>
    </row>
    <row r="4" spans="1:7" x14ac:dyDescent="0.25">
      <c r="A4" s="32">
        <v>3</v>
      </c>
      <c r="B4" s="32" t="s">
        <v>196</v>
      </c>
      <c r="C4" s="32" t="s">
        <v>166</v>
      </c>
      <c r="D4" s="32" t="s">
        <v>163</v>
      </c>
      <c r="E4" s="32" t="s">
        <v>167</v>
      </c>
      <c r="F4" s="32" t="s">
        <v>153</v>
      </c>
      <c r="G4" s="32" t="s">
        <v>141</v>
      </c>
    </row>
    <row r="5" spans="1:7" x14ac:dyDescent="0.25">
      <c r="A5" s="32"/>
      <c r="B5" s="32"/>
      <c r="C5" s="32"/>
      <c r="D5" s="32"/>
      <c r="E5" s="32"/>
      <c r="F5" s="32" t="s">
        <v>54</v>
      </c>
      <c r="G5" s="32" t="s">
        <v>62</v>
      </c>
    </row>
    <row r="6" spans="1:7" x14ac:dyDescent="0.25">
      <c r="A6" s="32"/>
      <c r="B6" s="32"/>
      <c r="C6" s="32"/>
      <c r="D6" s="32"/>
      <c r="E6" s="32"/>
      <c r="F6" s="32" t="s">
        <v>152</v>
      </c>
      <c r="G6" s="32"/>
    </row>
    <row r="7" spans="1:7" x14ac:dyDescent="0.25">
      <c r="A7" s="32">
        <v>4</v>
      </c>
      <c r="B7" s="32" t="s">
        <v>197</v>
      </c>
      <c r="C7" s="32" t="s">
        <v>167</v>
      </c>
      <c r="D7" s="32" t="s">
        <v>163</v>
      </c>
      <c r="E7" s="32" t="s">
        <v>168</v>
      </c>
      <c r="F7" s="32" t="s">
        <v>142</v>
      </c>
      <c r="G7" s="32"/>
    </row>
    <row r="8" spans="1:7" x14ac:dyDescent="0.25">
      <c r="A8" s="32"/>
      <c r="B8" s="32"/>
      <c r="C8" s="32"/>
      <c r="D8" s="32"/>
      <c r="E8" s="32"/>
      <c r="F8" s="32" t="s">
        <v>144</v>
      </c>
      <c r="G8" s="32"/>
    </row>
    <row r="9" spans="1:7" x14ac:dyDescent="0.25">
      <c r="A9" s="32"/>
      <c r="B9" s="32"/>
      <c r="C9" s="32"/>
      <c r="D9" s="32"/>
      <c r="E9" s="32"/>
      <c r="F9" s="32" t="s">
        <v>145</v>
      </c>
      <c r="G9" s="32"/>
    </row>
    <row r="10" spans="1:7" x14ac:dyDescent="0.25">
      <c r="A10" s="32"/>
      <c r="B10" s="32"/>
      <c r="C10" s="32"/>
      <c r="D10" s="32"/>
      <c r="E10" s="32"/>
      <c r="F10" s="32" t="s">
        <v>146</v>
      </c>
      <c r="G10" s="32"/>
    </row>
    <row r="11" spans="1:7" x14ac:dyDescent="0.25">
      <c r="A11" s="32"/>
      <c r="B11" s="32"/>
      <c r="C11" s="32"/>
      <c r="D11" s="32"/>
      <c r="E11" s="32"/>
      <c r="F11" s="32" t="s">
        <v>147</v>
      </c>
      <c r="G11" s="32"/>
    </row>
    <row r="12" spans="1:7" x14ac:dyDescent="0.25">
      <c r="A12" s="32">
        <v>5</v>
      </c>
      <c r="B12" s="32" t="s">
        <v>198</v>
      </c>
      <c r="C12" s="32" t="s">
        <v>168</v>
      </c>
      <c r="D12" s="32" t="s">
        <v>163</v>
      </c>
      <c r="E12" s="35" t="s">
        <v>173</v>
      </c>
      <c r="F12" s="32"/>
      <c r="G12" s="32"/>
    </row>
    <row r="13" spans="1:7" x14ac:dyDescent="0.25">
      <c r="A13" s="32">
        <v>6</v>
      </c>
      <c r="B13" s="32" t="s">
        <v>199</v>
      </c>
      <c r="C13" s="32" t="s">
        <v>173</v>
      </c>
      <c r="D13" s="32" t="s">
        <v>163</v>
      </c>
      <c r="E13" s="32" t="s">
        <v>176</v>
      </c>
      <c r="F13" s="32" t="s">
        <v>148</v>
      </c>
      <c r="G13" s="32"/>
    </row>
    <row r="14" spans="1:7" x14ac:dyDescent="0.25">
      <c r="A14" s="32"/>
      <c r="B14" s="32"/>
      <c r="C14" s="32"/>
      <c r="D14" s="32"/>
      <c r="E14" s="32"/>
      <c r="F14" s="32" t="s">
        <v>150</v>
      </c>
      <c r="G14" s="32"/>
    </row>
    <row r="15" spans="1:7" x14ac:dyDescent="0.25">
      <c r="A15" s="32">
        <v>7</v>
      </c>
      <c r="B15" s="32" t="s">
        <v>200</v>
      </c>
      <c r="C15" s="32" t="s">
        <v>176</v>
      </c>
      <c r="D15" s="32" t="s">
        <v>163</v>
      </c>
      <c r="E15" s="32" t="s">
        <v>174</v>
      </c>
      <c r="F15" s="32" t="s">
        <v>151</v>
      </c>
      <c r="G15" s="32"/>
    </row>
    <row r="16" spans="1:7" x14ac:dyDescent="0.25">
      <c r="A16" s="32">
        <v>8</v>
      </c>
      <c r="B16" s="32" t="s">
        <v>201</v>
      </c>
      <c r="C16" s="32" t="s">
        <v>174</v>
      </c>
      <c r="D16" s="32" t="s">
        <v>163</v>
      </c>
      <c r="E16" s="32" t="s">
        <v>175</v>
      </c>
      <c r="F16" s="32" t="s">
        <v>55</v>
      </c>
      <c r="G16" s="32"/>
    </row>
    <row r="17" spans="1:7" x14ac:dyDescent="0.25">
      <c r="A17" s="32">
        <v>9</v>
      </c>
      <c r="B17" s="32" t="s">
        <v>202</v>
      </c>
      <c r="C17" s="32" t="s">
        <v>175</v>
      </c>
      <c r="D17" s="32" t="s">
        <v>163</v>
      </c>
      <c r="E17" s="32" t="s">
        <v>177</v>
      </c>
      <c r="F17" s="36" t="s">
        <v>89</v>
      </c>
      <c r="G17" s="32"/>
    </row>
    <row r="18" spans="1:7" x14ac:dyDescent="0.25">
      <c r="A18" s="32">
        <v>10</v>
      </c>
      <c r="B18" s="32" t="s">
        <v>203</v>
      </c>
      <c r="C18" s="32" t="s">
        <v>177</v>
      </c>
      <c r="D18" s="32" t="s">
        <v>163</v>
      </c>
      <c r="E18" s="32" t="s">
        <v>162</v>
      </c>
      <c r="F18" s="32" t="s">
        <v>133</v>
      </c>
      <c r="G18" s="32"/>
    </row>
    <row r="19" spans="1:7" x14ac:dyDescent="0.25">
      <c r="A19" s="32">
        <v>11</v>
      </c>
      <c r="B19" s="32" t="s">
        <v>204</v>
      </c>
      <c r="C19" s="32" t="s">
        <v>162</v>
      </c>
      <c r="D19" s="32" t="s">
        <v>163</v>
      </c>
      <c r="E19" s="32" t="s">
        <v>164</v>
      </c>
      <c r="F19" s="32" t="s">
        <v>138</v>
      </c>
      <c r="G19" s="32"/>
    </row>
    <row r="20" spans="1:7" x14ac:dyDescent="0.25">
      <c r="A20" s="32">
        <v>12</v>
      </c>
      <c r="B20" s="32" t="s">
        <v>205</v>
      </c>
      <c r="C20" s="32" t="s">
        <v>164</v>
      </c>
      <c r="D20" s="32" t="s">
        <v>163</v>
      </c>
      <c r="E20" s="32" t="s">
        <v>172</v>
      </c>
      <c r="F20" s="32" t="s">
        <v>121</v>
      </c>
      <c r="G20" s="32"/>
    </row>
    <row r="21" spans="1:7" x14ac:dyDescent="0.25">
      <c r="A21" s="32">
        <v>13</v>
      </c>
      <c r="B21" s="32" t="s">
        <v>206</v>
      </c>
      <c r="C21" s="32" t="s">
        <v>172</v>
      </c>
      <c r="D21" s="32" t="s">
        <v>163</v>
      </c>
      <c r="E21" s="32" t="s">
        <v>169</v>
      </c>
      <c r="F21" s="32" t="s">
        <v>63</v>
      </c>
      <c r="G21" s="32"/>
    </row>
    <row r="22" spans="1:7" x14ac:dyDescent="0.25">
      <c r="A22" s="32">
        <v>14</v>
      </c>
      <c r="B22" s="32" t="s">
        <v>207</v>
      </c>
      <c r="C22" s="32" t="s">
        <v>169</v>
      </c>
      <c r="D22" s="32" t="s">
        <v>163</v>
      </c>
      <c r="E22" s="32" t="s">
        <v>170</v>
      </c>
      <c r="F22" s="32" t="s">
        <v>50</v>
      </c>
      <c r="G22" s="32"/>
    </row>
    <row r="23" spans="1:7" x14ac:dyDescent="0.25">
      <c r="A23" s="32">
        <v>15</v>
      </c>
      <c r="B23" s="32" t="s">
        <v>208</v>
      </c>
      <c r="C23" s="32" t="s">
        <v>170</v>
      </c>
      <c r="D23" s="32" t="s">
        <v>163</v>
      </c>
      <c r="E23" s="32" t="s">
        <v>171</v>
      </c>
      <c r="F23" s="32" t="s">
        <v>60</v>
      </c>
      <c r="G23" s="32"/>
    </row>
    <row r="24" spans="1:7" x14ac:dyDescent="0.25">
      <c r="A24" s="32"/>
      <c r="B24" s="32"/>
      <c r="C24" s="32"/>
      <c r="D24" s="32"/>
      <c r="E24" s="32"/>
      <c r="F24" s="32" t="s">
        <v>58</v>
      </c>
      <c r="G24" s="32"/>
    </row>
    <row r="25" spans="1:7" x14ac:dyDescent="0.25">
      <c r="A25" s="32">
        <v>16</v>
      </c>
      <c r="B25" s="32" t="s">
        <v>209</v>
      </c>
      <c r="C25" s="32" t="s">
        <v>171</v>
      </c>
      <c r="D25" s="32" t="s">
        <v>163</v>
      </c>
      <c r="E25" s="32" t="s">
        <v>178</v>
      </c>
      <c r="F25" s="32" t="s">
        <v>61</v>
      </c>
      <c r="G25" s="32"/>
    </row>
    <row r="26" spans="1:7" x14ac:dyDescent="0.25">
      <c r="A26" s="32"/>
      <c r="B26" s="32"/>
      <c r="C26" s="32"/>
      <c r="D26" s="32"/>
      <c r="E26" s="32"/>
      <c r="F26" s="32" t="s">
        <v>59</v>
      </c>
      <c r="G26" s="32"/>
    </row>
    <row r="27" spans="1:7" x14ac:dyDescent="0.25">
      <c r="A27" s="32">
        <v>17</v>
      </c>
      <c r="B27" s="32" t="s">
        <v>210</v>
      </c>
      <c r="C27" s="32" t="s">
        <v>178</v>
      </c>
      <c r="D27" s="32" t="s">
        <v>163</v>
      </c>
      <c r="E27" s="32" t="s">
        <v>179</v>
      </c>
      <c r="F27" s="32" t="s">
        <v>78</v>
      </c>
      <c r="G27" s="32"/>
    </row>
    <row r="28" spans="1:7" x14ac:dyDescent="0.25">
      <c r="A28" s="32">
        <v>18</v>
      </c>
      <c r="B28" s="32" t="s">
        <v>211</v>
      </c>
      <c r="C28" s="32" t="s">
        <v>179</v>
      </c>
      <c r="D28" s="32" t="s">
        <v>163</v>
      </c>
      <c r="E28" s="32" t="s">
        <v>160</v>
      </c>
      <c r="F28" s="32"/>
      <c r="G28" s="32"/>
    </row>
    <row r="29" spans="1:7" x14ac:dyDescent="0.25">
      <c r="A29" s="32">
        <v>19</v>
      </c>
      <c r="B29" s="32" t="s">
        <v>212</v>
      </c>
      <c r="C29" s="32" t="s">
        <v>160</v>
      </c>
      <c r="D29" s="32" t="s">
        <v>161</v>
      </c>
      <c r="E29" s="32" t="s">
        <v>213</v>
      </c>
      <c r="F29" s="32"/>
      <c r="G29" s="32"/>
    </row>
    <row r="41" spans="7:7" x14ac:dyDescent="0.25">
      <c r="G41" s="12" t="s">
        <v>53</v>
      </c>
    </row>
    <row r="42" spans="7:7" x14ac:dyDescent="0.25">
      <c r="G42" s="12" t="s">
        <v>52</v>
      </c>
    </row>
    <row r="43" spans="7:7" x14ac:dyDescent="0.25">
      <c r="G43" s="12" t="s">
        <v>182</v>
      </c>
    </row>
    <row r="44" spans="7:7" x14ac:dyDescent="0.25">
      <c r="G44" s="12" t="s">
        <v>183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D2"/>
  <sheetViews>
    <sheetView workbookViewId="0"/>
  </sheetViews>
  <sheetFormatPr defaultRowHeight="15" x14ac:dyDescent="0.25"/>
  <cols>
    <col min="1" max="1" width="12.140625" bestFit="1" customWidth="1"/>
    <col min="2" max="2" width="20" bestFit="1" customWidth="1"/>
    <col min="3" max="3" width="65" bestFit="1" customWidth="1"/>
    <col min="4" max="4" width="17.42578125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73</v>
      </c>
      <c r="B2" t="s">
        <v>0</v>
      </c>
      <c r="C2" t="s">
        <v>47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138</v>
      </c>
      <c r="B2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5</v>
      </c>
      <c r="C2" t="s">
        <v>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s="4" t="s">
        <v>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5</v>
      </c>
      <c r="C2" t="s">
        <v>48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2"/>
  <sheetViews>
    <sheetView workbookViewId="0"/>
  </sheetViews>
  <sheetFormatPr defaultRowHeight="15" x14ac:dyDescent="0.25"/>
  <cols>
    <col min="2" max="2" width="10.85546875" style="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6</v>
      </c>
      <c r="C2" t="s">
        <v>49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s="4" t="s">
        <v>41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s="4" t="s">
        <v>41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2"/>
  <sheetViews>
    <sheetView workbookViewId="0"/>
  </sheetViews>
  <sheetFormatPr defaultRowHeight="15" x14ac:dyDescent="0.25"/>
  <cols>
    <col min="1" max="1" width="14" bestFit="1" customWidth="1"/>
    <col min="2" max="2" width="17" bestFit="1" customWidth="1"/>
    <col min="3" max="3" width="80" bestFit="1" customWidth="1"/>
    <col min="4" max="4" width="10.42578125" style="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50</v>
      </c>
      <c r="B2" t="s">
        <v>40</v>
      </c>
      <c r="C2" s="7" t="str">
        <f>"select DISTINCT "&amp;B2&amp;" from "&amp;A2&amp;" order by "&amp;B2&amp;" desc"</f>
        <v>select DISTINCT update_dt from adhoc_opcode order by update_dt desc</v>
      </c>
      <c r="D2" s="3" t="s">
        <v>185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2"/>
  <sheetViews>
    <sheetView workbookViewId="0"/>
  </sheetViews>
  <sheetFormatPr defaultRowHeight="15" x14ac:dyDescent="0.25"/>
  <cols>
    <col min="1" max="1" width="10.85546875" bestFit="1" customWidth="1"/>
    <col min="2" max="2" width="17" bestFit="1" customWidth="1"/>
    <col min="3" max="3" width="76.85546875" bestFit="1" customWidth="1"/>
    <col min="4" max="4" width="10.42578125" style="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63</v>
      </c>
      <c r="B2" t="s">
        <v>40</v>
      </c>
      <c r="C2" t="str">
        <f>"select DISTINCT "&amp;B2&amp;" from "&amp;A2&amp;" order by "&amp;B2&amp;" desc"</f>
        <v>select DISTINCT update_dt from adhoc_part order by update_dt desc</v>
      </c>
      <c r="D2" s="3" t="s">
        <v>185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2"/>
  <sheetViews>
    <sheetView workbookViewId="0"/>
  </sheetViews>
  <sheetFormatPr defaultRowHeight="15" x14ac:dyDescent="0.25"/>
  <cols>
    <col min="1" max="1" width="18" bestFit="1" customWidth="1"/>
    <col min="2" max="2" width="22.28515625" bestFit="1" customWidth="1"/>
    <col min="3" max="3" width="94.28515625" bestFit="1" customWidth="1"/>
    <col min="4" max="4" width="10.42578125" style="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62</v>
      </c>
      <c r="B2" t="s">
        <v>1</v>
      </c>
      <c r="C2" t="str">
        <f>"select DISTINCT "&amp;B2&amp;" from "&amp;A2&amp;" order by "&amp;B2&amp;" desc"</f>
        <v>select DISTINCT repair_date from adhoc_temp_claim order by repair_date desc</v>
      </c>
      <c r="D2" s="3" t="s">
        <v>186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2"/>
  <sheetViews>
    <sheetView workbookViewId="0"/>
  </sheetViews>
  <sheetFormatPr defaultRowHeight="15" x14ac:dyDescent="0.25"/>
  <cols>
    <col min="1" max="1" width="29.140625" bestFit="1" customWidth="1"/>
    <col min="2" max="2" width="22.28515625" bestFit="1" customWidth="1"/>
    <col min="3" max="3" width="105.5703125" bestFit="1" customWidth="1"/>
    <col min="4" max="4" width="10.42578125" style="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61</v>
      </c>
      <c r="B2" t="s">
        <v>0</v>
      </c>
      <c r="C2" t="str">
        <f>"select DISTINCT "&amp;B2&amp;" from "&amp;A2&amp;" order by "&amp;B2&amp;" desc"</f>
        <v>select DISTINCT reportdate from adhoc_tracking_CVTClaims_F1 order by reportdate desc</v>
      </c>
      <c r="D2" s="3" t="s">
        <v>185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2"/>
  <sheetViews>
    <sheetView workbookViewId="0"/>
  </sheetViews>
  <sheetFormatPr defaultRowHeight="15" x14ac:dyDescent="0.25"/>
  <cols>
    <col min="1" max="1" width="30.28515625" bestFit="1" customWidth="1"/>
    <col min="2" max="2" width="23.5703125" bestFit="1" customWidth="1"/>
    <col min="3" max="3" width="109.28515625" bestFit="1" customWidth="1"/>
    <col min="4" max="4" width="10.42578125" style="1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60</v>
      </c>
      <c r="B2" t="s">
        <v>0</v>
      </c>
      <c r="C2" t="str">
        <f>"select DISTINCT "&amp;B2&amp;" from "&amp;A2&amp;" order by "&amp;B2&amp;" desc"</f>
        <v>select DISTINCT reportdate from adhoc_tracking_CVTClaims_FKJK order by reportdate desc</v>
      </c>
      <c r="D2" s="13">
        <v>43930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"/>
  <sheetViews>
    <sheetView workbookViewId="0"/>
  </sheetViews>
  <sheetFormatPr defaultRowHeight="15" x14ac:dyDescent="0.25"/>
  <cols>
    <col min="1" max="1" width="29.140625" bestFit="1" customWidth="1"/>
    <col min="2" max="2" width="17" bestFit="1" customWidth="1"/>
    <col min="3" max="3" width="95.140625" bestFit="1" customWidth="1"/>
    <col min="4" max="4" width="10.42578125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59</v>
      </c>
      <c r="B2" t="s">
        <v>40</v>
      </c>
      <c r="C2" t="str">
        <f>"select DISTINCT "&amp;B2&amp;" from "&amp;A2&amp;" order by "&amp;B2&amp;" desc"</f>
        <v>select DISTINCT update_dt from adhoc_tracking_CVTPartUse_F1 order by update_dt desc</v>
      </c>
      <c r="D2" s="13">
        <v>43930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D2"/>
  <sheetViews>
    <sheetView workbookViewId="0"/>
  </sheetViews>
  <sheetFormatPr defaultRowHeight="15" x14ac:dyDescent="0.25"/>
  <cols>
    <col min="1" max="1" width="31.28515625" bestFit="1" customWidth="1"/>
    <col min="2" max="2" width="17" bestFit="1" customWidth="1"/>
    <col min="3" max="3" width="97.28515625" bestFit="1" customWidth="1"/>
    <col min="4" max="4" width="10.42578125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58</v>
      </c>
      <c r="B2" t="s">
        <v>40</v>
      </c>
      <c r="C2" t="str">
        <f>"select DISTINCT "&amp;B2&amp;" from "&amp;A2&amp;" order by "&amp;B2&amp;" desc"</f>
        <v>select DISTINCT update_dt from adhoc_tracking_CVTPartUse_FKJK order by update_dt desc</v>
      </c>
      <c r="D2" s="13">
        <v>43929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2"/>
  <sheetViews>
    <sheetView workbookViewId="0"/>
  </sheetViews>
  <sheetFormatPr defaultRowHeight="15" x14ac:dyDescent="0.25"/>
  <cols>
    <col min="1" max="1" width="13.85546875" bestFit="1" customWidth="1"/>
    <col min="2" max="2" width="23.5703125" bestFit="1" customWidth="1"/>
    <col min="3" max="3" width="90.28515625" bestFit="1" customWidth="1"/>
    <col min="4" max="4" width="13.42578125" style="13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57</v>
      </c>
      <c r="B2" t="s">
        <v>0</v>
      </c>
      <c r="C2" t="str">
        <f t="shared" ref="C2" si="0">"select DISTINCT "&amp;B2&amp;" from "&amp;A2&amp;" order by "&amp;B2&amp;" desc"</f>
        <v>select DISTINCT reportdate from adhoc_vehicle order by reportdate desc</v>
      </c>
      <c r="D2" s="13">
        <v>43930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2"/>
  <sheetViews>
    <sheetView workbookViewId="0"/>
  </sheetViews>
  <sheetFormatPr defaultRowHeight="15" x14ac:dyDescent="0.25"/>
  <cols>
    <col min="1" max="1" width="17.85546875" bestFit="1" customWidth="1"/>
    <col min="2" max="2" width="15" bestFit="1" customWidth="1"/>
    <col min="3" max="3" width="79.7109375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s="4" t="s">
        <v>41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2"/>
  <sheetViews>
    <sheetView workbookViewId="0"/>
  </sheetViews>
  <sheetFormatPr defaultRowHeight="15" x14ac:dyDescent="0.25"/>
  <cols>
    <col min="1" max="1" width="31" bestFit="1" customWidth="1"/>
    <col min="2" max="2" width="12" bestFit="1" customWidth="1"/>
    <col min="3" max="3" width="86.85546875" bestFit="1" customWidth="1"/>
    <col min="4" max="4" width="10.42578125" style="1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55</v>
      </c>
      <c r="B2" t="s">
        <v>2</v>
      </c>
      <c r="C2" t="str">
        <f>"select DISTINCT "&amp;B2&amp;" from "&amp;A2&amp;" order by "&amp;B2&amp;" desc"</f>
        <v>select DISTINCT rundate from adhoc_vehicle_gcar_conspfp_cov order by rundate desc</v>
      </c>
      <c r="D2" s="13">
        <v>43930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s="4" t="s">
        <v>41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2"/>
  <sheetViews>
    <sheetView workbookViewId="0"/>
  </sheetViews>
  <sheetFormatPr defaultColWidth="9" defaultRowHeight="15" x14ac:dyDescent="0.25"/>
  <cols>
    <col min="1" max="1" width="18.7109375" bestFit="1" customWidth="1"/>
    <col min="2" max="2" width="20" bestFit="1" customWidth="1"/>
    <col min="3" max="3" width="90.5703125" bestFit="1" customWidth="1"/>
    <col min="4" max="4" width="10.42578125" style="1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t="s">
        <v>54</v>
      </c>
      <c r="B2" t="s">
        <v>2</v>
      </c>
      <c r="C2" t="str">
        <f>"select DISTINCT "&amp;B2&amp;" from "&amp;A2&amp;" order by "&amp;B2&amp;" desc"</f>
        <v>select DISTINCT rundate from adhoc_vehicle_navi order by rundate desc</v>
      </c>
      <c r="D2" s="13">
        <v>43930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D2"/>
  <sheetViews>
    <sheetView workbookViewId="0"/>
  </sheetViews>
  <sheetFormatPr defaultRowHeight="15" x14ac:dyDescent="0.25"/>
  <sheetData>
    <row r="1" spans="1:4" x14ac:dyDescent="0.25">
      <c r="A1" s="1" t="s">
        <v>191</v>
      </c>
      <c r="B1" s="2" t="s">
        <v>192</v>
      </c>
      <c r="C1" s="1" t="s">
        <v>51</v>
      </c>
      <c r="D1" s="2" t="s">
        <v>193</v>
      </c>
    </row>
    <row r="2" spans="1:4" x14ac:dyDescent="0.25">
      <c r="A2" s="4" t="s">
        <v>41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D2"/>
  <sheetViews>
    <sheetView workbookViewId="0"/>
  </sheetViews>
  <sheetFormatPr defaultRowHeight="15" x14ac:dyDescent="0.25"/>
  <cols>
    <col min="1" max="1" width="20.5703125" bestFit="1" customWidth="1"/>
    <col min="2" max="2" width="18" bestFit="1" customWidth="1"/>
    <col min="3" max="3" width="88.42578125" bestFit="1" customWidth="1"/>
    <col min="4" max="4" width="10.42578125" style="1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14" t="s">
        <v>193</v>
      </c>
    </row>
    <row r="2" spans="1:4" x14ac:dyDescent="0.25">
      <c r="A2" t="s">
        <v>53</v>
      </c>
      <c r="B2" t="s">
        <v>42</v>
      </c>
      <c r="C2" t="str">
        <f>"select DISTINCT "&amp;B2&amp;" from "&amp;A2&amp;" order by "&amp;B2&amp;" desc"</f>
        <v>select DISTINCT opcode_update_dt from adhoc_vehicleopcode order by opcode_update_dt desc</v>
      </c>
      <c r="D2" s="13">
        <v>43930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D2"/>
  <sheetViews>
    <sheetView workbookViewId="0"/>
  </sheetViews>
  <sheetFormatPr defaultRowHeight="15" x14ac:dyDescent="0.25"/>
  <cols>
    <col min="1" max="1" width="17.5703125" bestFit="1" customWidth="1"/>
    <col min="2" max="2" width="17" bestFit="1" customWidth="1"/>
    <col min="3" max="3" width="83.5703125" bestFit="1" customWidth="1"/>
    <col min="4" max="4" width="10.42578125" style="1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14" t="s">
        <v>193</v>
      </c>
    </row>
    <row r="2" spans="1:4" x14ac:dyDescent="0.25">
      <c r="A2" t="s">
        <v>52</v>
      </c>
      <c r="B2" t="s">
        <v>43</v>
      </c>
      <c r="C2" t="str">
        <f>"select DISTINCT "&amp;B2&amp;" from "&amp;A2&amp;" order by "&amp;B2&amp;" desc"</f>
        <v>select DISTINCT part_update_dt from adhoc_vehiclepart order by part_update_dt desc</v>
      </c>
      <c r="D2" s="13">
        <v>43930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D2"/>
  <sheetViews>
    <sheetView workbookViewId="0">
      <selection activeCell="B2" sqref="B2"/>
    </sheetView>
  </sheetViews>
  <sheetFormatPr defaultRowHeight="15" x14ac:dyDescent="0.25"/>
  <cols>
    <col min="1" max="1" width="18.5703125" bestFit="1" customWidth="1"/>
    <col min="2" max="2" width="22.28515625" bestFit="1" customWidth="1"/>
    <col min="3" max="3" width="94.85546875" bestFit="1" customWidth="1"/>
    <col min="4" max="4" width="10.42578125" style="1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14" t="s">
        <v>193</v>
      </c>
    </row>
    <row r="2" spans="1:4" x14ac:dyDescent="0.25">
      <c r="A2" t="s">
        <v>20</v>
      </c>
      <c r="B2" t="s">
        <v>44</v>
      </c>
      <c r="C2" t="str">
        <f t="shared" ref="C2" si="0">"select DISTINCT "&amp;B2&amp;" from "&amp;A2&amp;" order by "&amp;B2&amp;" desc"</f>
        <v>select DISTINCT clm_dt from wrnty_clm_crnt_vw order by clm_dt desc</v>
      </c>
      <c r="D2" s="13">
        <v>43932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2"/>
  <sheetViews>
    <sheetView workbookViewId="0"/>
  </sheetViews>
  <sheetFormatPr defaultRowHeight="15" x14ac:dyDescent="0.25"/>
  <cols>
    <col min="1" max="1" width="19.85546875" bestFit="1" customWidth="1"/>
    <col min="2" max="2" width="10.85546875" bestFit="1" customWidth="1"/>
    <col min="3" max="3" width="67" bestFit="1" customWidth="1"/>
    <col min="4" max="4" width="10.42578125" style="13" bestFit="1" customWidth="1"/>
  </cols>
  <sheetData>
    <row r="1" spans="1:4" x14ac:dyDescent="0.25">
      <c r="A1" s="1" t="s">
        <v>191</v>
      </c>
      <c r="B1" s="2" t="s">
        <v>192</v>
      </c>
      <c r="C1" s="1" t="s">
        <v>51</v>
      </c>
      <c r="D1" s="14" t="s">
        <v>193</v>
      </c>
    </row>
    <row r="2" spans="1:4" x14ac:dyDescent="0.25">
      <c r="A2" t="s">
        <v>21</v>
      </c>
      <c r="B2" t="s">
        <v>45</v>
      </c>
      <c r="C2" t="str">
        <f>"select DISTINCT "&amp;B2&amp;" from "&amp;A2&amp;" order by "&amp;B2&amp;" desc"</f>
        <v>select DISTINCT updt_ts from wrnty_cmnt_crnt_vw order by updt_ts desc</v>
      </c>
      <c r="D2" s="13">
        <v>43931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Tables_List</vt:lpstr>
      <vt:lpstr>Tables_for_Zeppelin</vt:lpstr>
      <vt:lpstr>Workflows_Vs_Tables</vt:lpstr>
      <vt:lpstr>claim</vt:lpstr>
      <vt:lpstr>claim_dm</vt:lpstr>
      <vt:lpstr>comment_cust</vt:lpstr>
      <vt:lpstr>comment_tech</vt:lpstr>
      <vt:lpstr>cpv</vt:lpstr>
      <vt:lpstr>gcar_ad_date</vt:lpstr>
      <vt:lpstr>gcar_project</vt:lpstr>
      <vt:lpstr>gcar_projectxmy</vt:lpstr>
      <vt:lpstr>gcar_projectxplant</vt:lpstr>
      <vt:lpstr>gcar_req</vt:lpstr>
      <vt:lpstr>gcarcoverage</vt:lpstr>
      <vt:lpstr>gcareffectiveness</vt:lpstr>
      <vt:lpstr>gcarmaster</vt:lpstr>
      <vt:lpstr>issue_stats</vt:lpstr>
      <vt:lpstr>modelyear</vt:lpstr>
      <vt:lpstr>opcode</vt:lpstr>
      <vt:lpstr>part</vt:lpstr>
      <vt:lpstr>temp_claim</vt:lpstr>
      <vt:lpstr>tracking_CVTClaims_F1</vt:lpstr>
      <vt:lpstr>tracking_CVTClaims_FKJK</vt:lpstr>
      <vt:lpstr>tracking_CVTPartUse_F1</vt:lpstr>
      <vt:lpstr>tracking_CVTPartUse_FKJK</vt:lpstr>
      <vt:lpstr>vehicle</vt:lpstr>
      <vt:lpstr>vehicle_dm</vt:lpstr>
      <vt:lpstr>vehicle_gcar_conspfp_cov</vt:lpstr>
      <vt:lpstr>vehicle_my</vt:lpstr>
      <vt:lpstr>vehicle_navi</vt:lpstr>
      <vt:lpstr>vehicleclaim_navi</vt:lpstr>
      <vt:lpstr>vehicleopcode</vt:lpstr>
      <vt:lpstr>vehiclepart</vt:lpstr>
      <vt:lpstr>wrnty_clm_crnt_vw</vt:lpstr>
      <vt:lpstr>wrnty_cmnt_crnt_vw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2020-04-08T23:06:45Z</dcterms:created>
  <dcterms:modified xsi:type="dcterms:W3CDTF">2020-06-21T07:43:30Z</dcterms:modified>
</cp:coreProperties>
</file>